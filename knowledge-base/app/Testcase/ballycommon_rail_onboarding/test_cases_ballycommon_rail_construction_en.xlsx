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ppacdtsource-my.sharepoint.com/personal/maya_do_ppac_co_uk/Documents/Automation/PPAC Automation for QC - Github repo/ppac-v2.0-ai-automation-for-qc/knowledge-base/app/Testcase/ballycommon_rail_onboarding/"/>
    </mc:Choice>
  </mc:AlternateContent>
  <xr:revisionPtr revIDLastSave="202" documentId="8_{4BB863FB-8527-4898-9283-72CB09F9B7A6}" xr6:coauthVersionLast="47" xr6:coauthVersionMax="47" xr10:uidLastSave="{744A265C-AE0C-49B1-BF96-EC2A206E1631}"/>
  <bookViews>
    <workbookView xWindow="-120" yWindow="-120" windowWidth="38640" windowHeight="21120" firstSheet="1" activeTab="1" xr2:uid="{28329903-416E-4CB4-B706-C068A6E67FCB}"/>
  </bookViews>
  <sheets>
    <sheet name="Total" sheetId="2" r:id="rId1"/>
    <sheet name="Bally Onboarding" sheetId="1" r:id="rId2"/>
  </sheets>
  <definedNames>
    <definedName name="_xlnm._FilterDatabase" localSheetId="1" hidden="1">'Bally Onboarding'!$A$1:$I$173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2" l="1"/>
  <c r="B5" i="2"/>
  <c r="B6" i="2"/>
  <c r="B7" i="2"/>
  <c r="E4" i="2"/>
  <c r="E5" i="2"/>
  <c r="E6" i="2" l="1"/>
  <c r="B8" i="2"/>
</calcChain>
</file>

<file path=xl/sharedStrings.xml><?xml version="1.0" encoding="utf-8"?>
<sst xmlns="http://schemas.openxmlformats.org/spreadsheetml/2006/main" count="1744" uniqueCount="813">
  <si>
    <t>Priority Summary</t>
  </si>
  <si>
    <t>Status Summary</t>
  </si>
  <si>
    <t>Priority</t>
  </si>
  <si>
    <t>Case Count</t>
  </si>
  <si>
    <t>Status</t>
  </si>
  <si>
    <t>High</t>
  </si>
  <si>
    <t>Passed</t>
  </si>
  <si>
    <t>Low</t>
  </si>
  <si>
    <t>Failed</t>
  </si>
  <si>
    <t>Medium</t>
  </si>
  <si>
    <t xml:space="preserve">Total </t>
  </si>
  <si>
    <t>Critical</t>
  </si>
  <si>
    <t>Sector</t>
  </si>
  <si>
    <t>TC ID</t>
  </si>
  <si>
    <t>Module</t>
  </si>
  <si>
    <t>Test Scenario</t>
  </si>
  <si>
    <t>Pre-Condition</t>
  </si>
  <si>
    <t>Test Steps</t>
  </si>
  <si>
    <t>Test Data</t>
  </si>
  <si>
    <t>Expected Result</t>
  </si>
  <si>
    <t>Rail</t>
  </si>
  <si>
    <t>PPAC_PREFIX_TC_001</t>
  </si>
  <si>
    <t>M01</t>
  </si>
  <si>
    <t>Type the prefix → select BALLYCOMMON - RAIL from the dropdown → Continue → enter Rail onboarding</t>
  </si>
  <si>
    <t>Worker opens the Ballycommon onboarding link, "Enter company prefix" screen</t>
  </si>
  <si>
    <t>1. Type "BALL" into the company name field
2. In the suggestions dropdown, tap "BALLYCOMMON - RAIL"
3. Tap "Continue →"</t>
  </si>
  <si>
    <t>prefix typed = BALLY; selected = BALLYCOMMON - RAIL</t>
  </si>
  <si>
    <t>1. The value "BALLYCOMMON - RAIL" is filled into the input field; the suggestions dropdown is hidden
2. Helper text "If you're unsure, ask your on-site manager." (with ? icon) is displayed
3. Tap Continue → navigate to the Your Details form (Rail sector)</t>
  </si>
  <si>
    <t>PPAC_PREFIX_TC_002</t>
  </si>
  <si>
    <t>Display the correct content on the Welcome screen</t>
  </si>
  <si>
    <t>Worker on the Welcome screen</t>
  </si>
  <si>
    <t>1. Observe the screen title and description</t>
  </si>
  <si>
    <t>N/A</t>
  </si>
  <si>
    <t>1. Title "Welcome to PPAC, [User]!" + heading "Enter company prefix" + description "We use this to identify your contractor or site." are displayed correctly</t>
  </si>
  <si>
    <t>PPAC_PREFIX_TC_003</t>
  </si>
  <si>
    <t>Submit the prefix when there is a pending onboarding → "Continue onboarding?" popup → select Continue to return to the pending screen</t>
  </si>
  <si>
    <t>Worker already has an incomplete Ballycommon-Rail onboarding, re-enters the BALLYCOMMON-RAIL prefix</t>
  </si>
  <si>
    <t>1. Enter the BALLYCOMMON-RAIL prefix, tap "Continue →" (submit prefix)
2. Observe the displayed popup
3. Tap "Continue"</t>
  </si>
  <si>
    <t>prefix = BALLYCOMMON-RAIL, pending onboarding exists</t>
  </si>
  <si>
    <t>1. Trigger: because an incomplete onboarding exists → after submitting the prefix, the popup displays verbatim: title "Continue onboarding?" + body "You have an existing onboarding for Ballycommon - Rail. Do you want to continue?" + 2 buttons "Continue" and "Start a new onboarding!"
2. Tap "Continue" → navigate to the correct in-progress (pending) screen, the previous data is retained</t>
  </si>
  <si>
    <t>PPAC_PREFIX_TC_004</t>
  </si>
  <si>
    <t>"Continue onboarding?" popup → select "Start a new onboarding!" → start over from the beginning</t>
  </si>
  <si>
    <t>Worker has an in-progress onboarding, the "Continue onboarding?" popup is displayed (after submitting the BALLYCOMMON-RAIL prefix)</t>
  </si>
  <si>
    <t>1. Tap "Start a new onboarding!"</t>
  </si>
  <si>
    <t>pending onboarding exists</t>
  </si>
  <si>
    <t>1. The old onboarding is cancelled/discarded entirely; the onboarding restarts from the first form (Your Details), the previous pending data no longer exists</t>
  </si>
  <si>
    <t>PPAC_PREFIX_TC_005</t>
  </si>
  <si>
    <t>Prefix left empty → cannot proceed</t>
  </si>
  <si>
    <t>Enter company prefix screen, prefix field empty</t>
  </si>
  <si>
    <t>1. Leave the prefix field empty
2. Tap "Continue →"</t>
  </si>
  <si>
    <t>prefix = (empty)</t>
  </si>
  <si>
    <t>1. No navigation; a message requiring the prefix to be entered is displayed</t>
  </si>
  <si>
    <t>PPAC_PREFIX_TC_006</t>
  </si>
  <si>
    <t>Invalid prefix → no suggestions shown</t>
  </si>
  <si>
    <t>Enter company prefix screen</t>
  </si>
  <si>
    <t>1. Type a non-existent prefix
2. Observe the suggestions dropdown</t>
  </si>
  <si>
    <t>prefix = INVALID_XYZ</t>
  </si>
  <si>
    <t>1. The dropdown does NOT display any suggestions (no error, no item to select) → the prefix cannot be selected, no entry into onboarding</t>
  </si>
  <si>
    <t>PPAC_PREFIX_TC_007</t>
  </si>
  <si>
    <t>Type part of the prefix → suggestions dropdown displays all matching companies (autocomplete)</t>
  </si>
  <si>
    <t>1. Type "BALL" into the company name field
2. Observe the suggestions list</t>
  </si>
  <si>
    <t>prefix typed = BALLY</t>
  </si>
  <si>
    <t>1. The dropdown displays both matching options: "BALLYCOMMON - CONSTRUCTION" and "BALLYCOMMON - RAIL"; the "Continue →" button is displayed below</t>
  </si>
  <si>
    <t>PPAC_PREFIX_TC_008</t>
  </si>
  <si>
    <t>Select an item from the dropdown → input is filled + dropdown hidden + helper text shown (State Transition)</t>
  </si>
  <si>
    <t>"BALL" has been typed, the suggestions dropdown is displayed</t>
  </si>
  <si>
    <t>1. Tap "BALLYCOMMON - RAIL" in the dropdown
2. Observe the input field and helper text</t>
  </si>
  <si>
    <t>selected = BALLYCOMMON - RAIL</t>
  </si>
  <si>
    <t>1. The input field is filled with "BALLYCOMMON - RAIL"; the suggestions dropdown is hidden
2. Helper text "If you're unsure, ask your on-site manager." (? icon) appears</t>
  </si>
  <si>
    <t>PPAC_DETAILS_TC_010</t>
  </si>
  <si>
    <t>M02</t>
  </si>
  <si>
    <t>Enter complete and valid Your Details (Rail + Workwell) → proceed to References</t>
  </si>
  <si>
    <t>Onboarding Rail entered, Your Details screen</t>
  </si>
  <si>
    <t>1. Enter complete and valid Personal Information
2. Enter complete Address
3. Select Consultant, Trade, Qualification from the dropdowns
4. Enter the Sentinel Number
5. Enter complete Next of Kin
6. Select Payroll = "Workwell Contractor Solutions (Provider for PAYE)"
7. Tap "Next →"</t>
  </si>
  <si>
    <t>First name = Harry; Surname = Vo; Email = auto_bcrail_010_20260602@yopmail.com
NIN = AB123456C; Sentinel = SEN20260602; DOB = 01/01/1990
Payroll = Workwell Contractor Solutions</t>
  </si>
  <si>
    <t>1. All fields accept their values, no errors
2. Navigate to the References form</t>
  </si>
  <si>
    <t>PPAC_DETAILS_TC_011</t>
  </si>
  <si>
    <t>Display the correct structure &amp; labels of the field groups</t>
  </si>
  <si>
    <t>Your Details screen</t>
  </si>
  <si>
    <t>1. Observe the Personal / Address / Next of Kin / Payroll groups</t>
  </si>
  <si>
    <t>1. All groups present; labels have the correct wording; Next of Kin helper "Please provide details of someone we can contact in case of emergency."; Sentinel Number is displayed (because Rail)</t>
  </si>
  <si>
    <t>PPAC_DETAILS_TC_012</t>
  </si>
  <si>
    <t>Surname left empty → required-field error</t>
  </si>
  <si>
    <t>Your Details screen, other fields valid</t>
  </si>
  <si>
    <t>1. Leave Surname empty
2. Tap "Next →"</t>
  </si>
  <si>
    <t>Surname = (empty)</t>
  </si>
  <si>
    <t>1. "Please fill in this field" is displayed at Surname; no navigation</t>
  </si>
  <si>
    <t>PPAC_DETAILS_TC_013</t>
  </si>
  <si>
    <t>Consultant not selected → required-field error</t>
  </si>
  <si>
    <t>1. Leave Consultant empty
2. Tap "Next →"</t>
  </si>
  <si>
    <t>Consultant = (none)</t>
  </si>
  <si>
    <t>1. "Please select here" is displayed at Consultant</t>
  </si>
  <si>
    <t>PPAC_DETAILS_TC_014</t>
  </si>
  <si>
    <t>Multiple mandatory fields empty at once → display all errors</t>
  </si>
  <si>
    <t>Your Details screen empty</t>
  </si>
  <si>
    <t>1. Leave all mandatory fields empty
2. Tap "Next →"</t>
  </si>
  <si>
    <t>all empty</t>
  </si>
  <si>
    <t>1. Each mandatory field displays its corresponding error message; no navigation</t>
  </si>
  <si>
    <t>PPAC_DETAILS_TC_015</t>
  </si>
  <si>
    <t>Email in invalid format → error</t>
  </si>
  <si>
    <t>1. Enter an email missing '@'
2. Tap "Next →"</t>
  </si>
  <si>
    <t>Email = duyen.maya</t>
  </si>
  <si>
    <t>1. "Please enter a valid email address" is displayed; no navigation</t>
  </si>
  <si>
    <t>PPAC_DETAILS_TC_016</t>
  </si>
  <si>
    <t>Email missing domain → error</t>
  </si>
  <si>
    <t>1. Enter the email "user@"
2. Tap "Next →"</t>
  </si>
  <si>
    <t>Email = user@</t>
  </si>
  <si>
    <t>1. "Please enter a valid email address" is displayed</t>
  </si>
  <si>
    <t>PPAC_DETAILS_TC_017</t>
  </si>
  <si>
    <t>Valid email → accepted</t>
  </si>
  <si>
    <t>1. Enter a correctly formatted email
2. Leave focus</t>
  </si>
  <si>
    <t>Email = auto_bcrail_017_20260602@yopmail.com</t>
  </si>
  <si>
    <t>1. No email error; the field accepts the value</t>
  </si>
  <si>
    <t>PPAC_DETAILS_TC_018</t>
  </si>
  <si>
    <t>NIN in invalid format → format error</t>
  </si>
  <si>
    <t>1. Enter a NIN in an invalid format
2. Tap "Next →"</t>
  </si>
  <si>
    <t>NIN = MIDORI</t>
  </si>
  <si>
    <t>1. "Please enter the right format: 2 letters, 6 numbers, 1 letter (e.g. AA999999A)" is displayed</t>
  </si>
  <si>
    <t>PPAC_DETAILS_TC_019</t>
  </si>
  <si>
    <t>NIN in valid AA999999A format → accepted</t>
  </si>
  <si>
    <t>1. Enter a NIN in the correct format
2. Leave focus</t>
  </si>
  <si>
    <t>NIN = AB123456C</t>
  </si>
  <si>
    <t>1. No NIN error</t>
  </si>
  <si>
    <t>PPAC_DETAILS_TC_020</t>
  </si>
  <si>
    <t>NIN with wrong number of characters (boundary) → error</t>
  </si>
  <si>
    <t>1. Enter a NIN missing 1 number (AB12345C)
2. Tap "Next →"</t>
  </si>
  <si>
    <t>NIN = AB12345C</t>
  </si>
  <si>
    <t>1. The NIN format error is displayed</t>
  </si>
  <si>
    <t>PPAC_DETAILS_TC_021</t>
  </si>
  <si>
    <t>Sentinel Number displayed when Sector = Rail (BR-02)</t>
  </si>
  <si>
    <t>Onboarding Rail, Your Details screen</t>
  </si>
  <si>
    <t>1. Observe Personal Information</t>
  </si>
  <si>
    <t>Sector = Rail</t>
  </si>
  <si>
    <t>1. The "Sentinel Number" field is displayed (placeholder "Please enter here")</t>
  </si>
  <si>
    <t>PPAC_DETAILS_TC_022</t>
  </si>
  <si>
    <t>Sentinel Number left empty (Rail) → required-field error</t>
  </si>
  <si>
    <t>1. Leave the Sentinel Number empty
2. Tap "Next →"</t>
  </si>
  <si>
    <t>Sentinel = (empty)</t>
  </si>
  <si>
    <t>1. The required-field error is displayed at Sentinel Number; no navigation</t>
  </si>
  <si>
    <t>PPAC_DETAILS_TC_023</t>
  </si>
  <si>
    <t>Valid Sentinel Number → accepted</t>
  </si>
  <si>
    <t>1. Enter the Sentinel Number
2. Leave focus</t>
  </si>
  <si>
    <t>Sentinel = SEN20260602</t>
  </si>
  <si>
    <t>1. No error; the field accepts the value</t>
  </si>
  <si>
    <t>PPAC_DETAILS_TC_024</t>
  </si>
  <si>
    <t>DOB under 16 years old → blocked immediately in the DOB picker</t>
  </si>
  <si>
    <t>1. Open the "Select your date of birth" picker
2. Scroll to select a date that makes the age &lt; 16
3. Observe the subtitle and the "Save" button</t>
  </si>
  <si>
    <t>DOB = 01/06/2011 (15 years old as of 2026-06-02)</t>
  </si>
  <si>
    <t>1. The subtitle "Only individuals aged 16 or above are eligible to register." turns RED
2. The "Save" button is disabled → the DOB cannot be saved (no navigation)</t>
  </si>
  <si>
    <t>PPAC_DETAILS_TC_025</t>
  </si>
  <si>
    <t>DOB exactly 16 years old (boundary) → allow Save</t>
  </si>
  <si>
    <t>Your Details screen, DOB picker open</t>
  </si>
  <si>
    <t>1. Scroll to select a DOB that is exactly 16 years old
2. Observe the subtitle and the "Save" button</t>
  </si>
  <si>
    <t>DOB = 02/06/2010 (exactly 16 as of 2026-06-02)</t>
  </si>
  <si>
    <t>1. The subtitle is NOT red; the "Save" button is enabled → the DOB can be saved; no age error</t>
  </si>
  <si>
    <t>PPAC_DETAILS_TC_026</t>
  </si>
  <si>
    <t>DOB just 1 day under 16 years old (boundary) → blocked in the picker</t>
  </si>
  <si>
    <t>1. Scroll to select a DOB that makes the age = 15 years 364 days
2. Observe the subtitle and the "Save" button</t>
  </si>
  <si>
    <t>DOB = 03/06/2010</t>
  </si>
  <si>
    <t>1. The subtitle turns RED + the "Save" button is disabled (saving the DOB is blocked)</t>
  </si>
  <si>
    <t>PPAC_DETAILS_TC_027</t>
  </si>
  <si>
    <t>Consultant dropdown populated from the Infinity API + search</t>
  </si>
  <si>
    <t>1. Open the Consultant dropdown
2. Observe the list + the Search field
3. Type a keyword, select 1 consultant</t>
  </si>
  <si>
    <t>keyword = "Guy"</t>
  </si>
  <si>
    <t>1. The "Select Consultant" sheet opens, with a "Search" field; the list comes from the API; an item can be selected (marked with CheckCircle)</t>
  </si>
  <si>
    <t>PPAC_DETAILS_TC_028</t>
  </si>
  <si>
    <t>Qualification multi-select (select several) displayed as tags</t>
  </si>
  <si>
    <t>1. Open the Qualification dropdown
2. Select 2+ qualifications</t>
  </si>
  <si>
    <t>select "NICU", "Paediatric (Children)"</t>
  </si>
  <si>
    <t>1. The selections are displayed as tags with a remove button; tags can be removed</t>
  </si>
  <si>
    <t>PPAC_DETAILS_TC_029</t>
  </si>
  <si>
    <t>Trade multi-select (select several) displayed as tags</t>
  </si>
  <si>
    <t>1. Open the "Select Trade" sheet (with a Search field + checkboxes + a "Done" button)
2. Tick 2+ trades
3. Tap "Done"</t>
  </si>
  <si>
    <t>select "A-level", "Abrasive Wheel"</t>
  </si>
  <si>
    <t>1. The sheet is multi-select (square checkboxes), tap "Done" to confirm
2. The selections are displayed as tags with an ✕ button in the Trade field; tags can be removed</t>
  </si>
  <si>
    <t>PPAC_DETAILS_TC_030</t>
  </si>
  <si>
    <t>Next of Kin Contact Phone in invalid format → error</t>
  </si>
  <si>
    <t>1. Enter an invalid Contact Phone Number
2. Tap "Next →"</t>
  </si>
  <si>
    <t>Contact Phone = 8272930</t>
  </si>
  <si>
    <t>1. "Please enter a valid phone number" is displayed</t>
  </si>
  <si>
    <t>PPAC_DETAILS_TC_031</t>
  </si>
  <si>
    <t>Relationship to Candidate displays a suggestion placeholder</t>
  </si>
  <si>
    <t>1. Observe the Relationship to Candidate field</t>
  </si>
  <si>
    <t>1. The placeholder "e.g. Parent, Spouse, Sibling" is displayed</t>
  </si>
  <si>
    <t>PPAC_DETAILS_TC_032</t>
  </si>
  <si>
    <t>Select Payroll = Workwell (PAYE) → triggers the 8-form journey</t>
  </si>
  <si>
    <t>1. Open the Payroll provider dropdown
2. Observe the 2 options
3. Select Workwell Contractor Solutions</t>
  </si>
  <si>
    <t>Payroll = Workwell Contractor Solutions (Provider for PAYE)</t>
  </si>
  <si>
    <t>1. The dropdown displays "CWG (Provider for CIS)" and "Workwell Contractor Solutions (Provider for PAYE)"; helper "Select your preferred payroll provider"
2. Select Workwell → the flow will go through all 8 PAYE forms</t>
  </si>
  <si>
    <t>PPAC_DETAILS_TC_033</t>
  </si>
  <si>
    <t>Payroll not selected → required-field error (BR-05)</t>
  </si>
  <si>
    <t>1. Leave the Payroll provider empty
2. Tap "Next →"</t>
  </si>
  <si>
    <t>Payroll = (none)</t>
  </si>
  <si>
    <t>1. An error requiring a payroll to be selected is displayed; no navigation</t>
  </si>
  <si>
    <t>PPAC_DETAILS_TC_034</t>
  </si>
  <si>
    <t>Back from Your Details retains the entered data</t>
  </si>
  <si>
    <t>Part of Your Details entered</t>
  </si>
  <si>
    <t>1. Tap the Back button
2. Return to Your Details</t>
  </si>
  <si>
    <t>partial data</t>
  </si>
  <si>
    <t>1. Document the actual behaviour: whether the data is retained or reset</t>
  </si>
  <si>
    <t>PPAC_DETAILS_TC_035</t>
  </si>
  <si>
    <t>Email containing an injection payload → safely rejected</t>
  </si>
  <si>
    <t>1. Enter an email containing a payload
2. Tap "Next →"</t>
  </si>
  <si>
    <t>Email = &lt;script&gt;alert(1)&lt;/script&gt;@x.com</t>
  </si>
  <si>
    <t>1. Rejected with an email error; the script is not executed</t>
  </si>
  <si>
    <t>PPAC_DETAILS_TC_036</t>
  </si>
  <si>
    <t>Address left empty → required-field error</t>
  </si>
  <si>
    <t>1. Leave Address/City/Postcode empty
2. Tap "Next →"</t>
  </si>
  <si>
    <t>address fields = (empty)</t>
  </si>
  <si>
    <t>1. The required-field error is displayed at the address fields</t>
  </si>
  <si>
    <t>PPAC_DETAILS_TC_037</t>
  </si>
  <si>
    <t>"Where did you hear about us?" can be selected (design-only field — AMB-07)</t>
  </si>
  <si>
    <t>1. Open the "Where did you hear about us?" dropdown
2. Select 1 option</t>
  </si>
  <si>
    <t>any option</t>
  </si>
  <si>
    <t>1. The field accepts the value</t>
  </si>
  <si>
    <t>PPAC_DETAILS_TC_038</t>
  </si>
  <si>
    <t>Candidate's Mobile Phone in invalid format → error (the candidate's own phone field, distinct from Next of Kin)</t>
  </si>
  <si>
    <t>1. Enter "Candidate's Mobile Phone" in an invalid format
2. Tap "Next →"</t>
  </si>
  <si>
    <t>Candidate's Mobile Phone = 8272930</t>
  </si>
  <si>
    <t>1. "Please enter a valid phone number" is displayed at Candidate's Mobile Phone; no navigation</t>
  </si>
  <si>
    <t>PPAC_REF_TC_040</t>
  </si>
  <si>
    <t>M03</t>
  </si>
  <si>
    <t>Complete exactly 2 valid References → proceed to Medical</t>
  </si>
  <si>
    <t>Your Details completed, References screen</t>
  </si>
  <si>
    <t>1. Complete Referee 1 = Employer referee in full (Type, First Name, Surname, Contact Number, Relationship + Contractor or Company Name + Project or site you worked on)
2. Complete Referee 2 = Personal referee in full
3. Tap "Next →"</t>
  </si>
  <si>
    <t>Referee1: Type=Employer referee, First=John, Surname=Smith, Contact=07700900001, Rel=Manager, Contractor/Company=ABC Rail Ltd, Project=ABC Construction Site
Referee2: Type=Personal referee, First=Mary, Surname=Jones, Contact=07700900002, Rel=Colleague</t>
  </si>
  <si>
    <t>1. Both referees accept their data, no errors (Referee 1 = Employer additionally shows 2 fields Contractor/Company + Project and accepts the values)
2. Navigate to Medical Self-Certification (because Workwell/PAYE)</t>
  </si>
  <si>
    <t>PPAC_REF_TC_041</t>
  </si>
  <si>
    <t>Display the intro + the correct 2 Referee blocks (BR-08)</t>
  </si>
  <si>
    <t>References screen</t>
  </si>
  <si>
    <t>1. Observe the References screen</t>
  </si>
  <si>
    <t>1. The intro displays all 3 paragraphs verbatim: "You must provide the details of someone who is prepared to provide a reference for you." + "Please note: References provided must be a company reference from your previous contractor/employer supervisor or manager. No Agency references please." + "All references will be checked verbally. Failure to provide legitimate reference information could delay approval of your application."; there are exactly Referee 1 and Referee 2</t>
  </si>
  <si>
    <t>PPAC_REF_TC_042</t>
  </si>
  <si>
    <t>Reference Type not selected → error (EF-05 / VAL-07)</t>
  </si>
  <si>
    <t>1. Leave Referee 1's Type empty
2. Tap "Next →"</t>
  </si>
  <si>
    <t>Referee1 Type = (none)</t>
  </si>
  <si>
    <t>1. "Please select here" is displayed at Type; no navigation</t>
  </si>
  <si>
    <t>PPAC_REF_TC_043</t>
  </si>
  <si>
    <t>The Reference Type dropdown has exactly 2 options (AMB-02)</t>
  </si>
  <si>
    <t>1. Open the Type dropdown
2. Observe the options</t>
  </si>
  <si>
    <t>1. The "Select your referee type" sheet displays "Personal referee" and "Employer referee"</t>
  </si>
  <si>
    <t>PPAC_REF_TC_044</t>
  </si>
  <si>
    <t>Referee Contact Number in invalid format → error (EF-06 / VAL-08)</t>
  </si>
  <si>
    <t>1. Enter an invalid Contact Number
2. Tap "Next →"</t>
  </si>
  <si>
    <t>Contact = abc123</t>
  </si>
  <si>
    <t>PPAC_REF_TC_045</t>
  </si>
  <si>
    <t>Only 1 referee filled in, referee 2 left empty → error (BR-08)</t>
  </si>
  <si>
    <t>1. Complete Referee 1
2. Leave Referee 2 empty
3. Tap "Next →"</t>
  </si>
  <si>
    <t>Referee2 = (empty)</t>
  </si>
  <si>
    <t>1. Required-field errors are displayed on Referee 2's fields; no navigation</t>
  </si>
  <si>
    <t>PPAC_REF_TC_046</t>
  </si>
  <si>
    <t>Referee First Name/Surname empty → required-field error</t>
  </si>
  <si>
    <t>1. Leave Referee 1's First Name &amp; Surname empty
2. Tap "Next →"</t>
  </si>
  <si>
    <t>First/Surname = (empty)</t>
  </si>
  <si>
    <t>1. "Please fill in this field" is displayed at First Name &amp; Surname; no navigation</t>
  </si>
  <si>
    <t>PPAC_REF_TC_047</t>
  </si>
  <si>
    <t>Select Type = Personal referee for Referee 1</t>
  </si>
  <si>
    <t>1. Open Referee 1's Type, select "Personal referee"</t>
  </si>
  <si>
    <t>Type = Personal referee</t>
  </si>
  <si>
    <t>1. Type displays "Personal referee" as selected</t>
  </si>
  <si>
    <t>PPAC_REF_TC_048</t>
  </si>
  <si>
    <t>Select Type = Employer referee for Referee 2</t>
  </si>
  <si>
    <t>1. Open Referee 2's Type, select "Employer referee"</t>
  </si>
  <si>
    <t>Type = Employer referee</t>
  </si>
  <si>
    <t>1. Type displays "Employer referee" as selected</t>
  </si>
  <si>
    <t>PPAC_REF_TC_049</t>
  </si>
  <si>
    <t>Relationship to Candidate empty → required-field error</t>
  </si>
  <si>
    <t>1. Leave Referee 1's Relationship empty
2. Tap "Next →"</t>
  </si>
  <si>
    <t>Relationship = (empty)</t>
  </si>
  <si>
    <t>1. "Please fill in this field" is displayed at Relationship</t>
  </si>
  <si>
    <t>PPAC_REF_TC_050</t>
  </si>
  <si>
    <t>Valid Referee Contact Number → accepted</t>
  </si>
  <si>
    <t>1. Enter a valid Contact Number
2. Leave focus</t>
  </si>
  <si>
    <t>Contact = 07700900001</t>
  </si>
  <si>
    <t>1. No phone error</t>
  </si>
  <si>
    <t>PPAC_REF_TC_051</t>
  </si>
  <si>
    <t>Same data for both referees → duplicate behaviour</t>
  </si>
  <si>
    <t>1. Enter Referee 1 and Referee 2 with identical information
2. Tap "Next →"</t>
  </si>
  <si>
    <t>Referee1 = Referee2 (duplicate)</t>
  </si>
  <si>
    <t>1. Document the actual behaviour: whether the system allows or warns about duplicate referees</t>
  </si>
  <si>
    <t>PPAC_REF_TC_052</t>
  </si>
  <si>
    <t>Type = Employer referee → shows 2 conditional fields (State Transition)</t>
  </si>
  <si>
    <t>References screen, any Referee</t>
  </si>
  <si>
    <t>1. Open Type, select "Employer referee"
2. Observe the fields of the Referee block</t>
  </si>
  <si>
    <t>1. Additionally displays the "Contractor or Company Name" field (placeholder "Company or Contractor you worked for") and "Project or site you worked on" (placeholder "e.g. ABC Construction Site")</t>
  </si>
  <si>
    <t>PPAC_REF_TC_053</t>
  </si>
  <si>
    <t>Type = Personal referee → does NOT show the 2 conditional fields (State Transition)</t>
  </si>
  <si>
    <t>References screen, Referee currently Employer (the 2 additional fields are shown)</t>
  </si>
  <si>
    <t>1. Change Type to "Personal referee"
2. Observe the fields of the Referee block</t>
  </si>
  <si>
    <t>1. The "Contractor or Company Name" and "Project or site you worked on" fields are hidden</t>
  </si>
  <si>
    <t>PPAC_REF_TC_054</t>
  </si>
  <si>
    <t>Type = Employer referee, the 2 conditional fields left empty → required-field error</t>
  </si>
  <si>
    <t>References screen, Type = Employer referee, other fields valid</t>
  </si>
  <si>
    <t>1. Leave "Contractor or Company Name" and "Project or site you worked on" empty
2. Tap "Next →"</t>
  </si>
  <si>
    <t>Contractor/Company = (empty); Project = (empty)</t>
  </si>
  <si>
    <t>1. "Please fill in this field" is displayed at both fields; no navigation</t>
  </si>
  <si>
    <t>PPAC_MED_TC_060</t>
  </si>
  <si>
    <t>M04</t>
  </si>
  <si>
    <t>Answer all 12 questions = NO → show the confirmation checkbox (BR-14)</t>
  </si>
  <si>
    <t>References completed, Medical Self-Certification screen</t>
  </si>
  <si>
    <t>1. Select "No" for all 12 questions
2. Observe the bottom of the form</t>
  </si>
  <si>
    <t>all = No</t>
  </si>
  <si>
    <t>1. The checkbox "I confirm that I have selected 'NO' to all of the medical self-certification declarations above." is displayed</t>
  </si>
  <si>
    <t>PPAC_MED_TC_061</t>
  </si>
  <si>
    <t>All NO + tick the confirmation → proceed to Contract</t>
  </si>
  <si>
    <t>NO selected for all 12 questions, checkbox displayed</t>
  </si>
  <si>
    <t>1. Tick the confirmation checkbox
2. Tap "Next →"</t>
  </si>
  <si>
    <t>all NO + checkbox checked</t>
  </si>
  <si>
    <t>1. Navigate to Contract of Sentinel Scheme Sponsorship</t>
  </si>
  <si>
    <t>PPAC_MED_TC_062</t>
  </si>
  <si>
    <t>At least 1 question = YES → hide the confirmation checkbox (BR-15)</t>
  </si>
  <si>
    <t>Medical Self-Certification screen</t>
  </si>
  <si>
    <t>1. Select "Yes" for question 1, "No" for the remaining questions
2. Observe the bottom of the form</t>
  </si>
  <si>
    <t>Q1=Yes, rest No</t>
  </si>
  <si>
    <t>1. The confirmation checkbox is NOT displayed</t>
  </si>
  <si>
    <t>PPAC_MED_TC_063</t>
  </si>
  <si>
    <t>At least 1 question left empty → error (EF-07 / VAL-09)</t>
  </si>
  <si>
    <t>1. Leave question 5 empty
2. Answer the other questions
3. Tap "Next →"</t>
  </si>
  <si>
    <t>Q5 = (not answered)</t>
  </si>
  <si>
    <t>1. "Please answer this question" is displayed at question 5; no navigation</t>
  </si>
  <si>
    <t>PPAC_MED_TC_064</t>
  </si>
  <si>
    <t>All NO but the confirmation NOT ticked → block Next</t>
  </si>
  <si>
    <t>NO selected for all 12 questions, checkbox displayed but not ticked</t>
  </si>
  <si>
    <t>1. Do not tick the confirmation checkbox
2. Tap "Next →"</t>
  </si>
  <si>
    <t>all NO, checkbox unchecked</t>
  </si>
  <si>
    <t>1. No navigation; the red error "Please confirm this to continue." is displayed below the checkbox</t>
  </si>
  <si>
    <t>PPAC_MED_TC_065</t>
  </si>
  <si>
    <t>Display the correct railway intro + the 12 questions with correct content</t>
  </si>
  <si>
    <t>1. Observe the intro and the list of questions</t>
  </si>
  <si>
    <t>1. The intro displays both paragraphs verbatim: "Alertness and reasonable physical fitness are essential for duties which may interact with moving trains. It is therefore important to be accurate with your answer to this questionnaire, although trivial matters should be ignored (i.e. transient dizziness while gardening two years ago)." + the bold paragraph "When you declare NO you are accepting a degree of responsibility for your safety. Please study this list, and respond to each question."; all 12 questions in the correct order</t>
  </si>
  <si>
    <t>PPAC_MED_TC_066</t>
  </si>
  <si>
    <t>Change the answer from YES to NO on the last remaining question → the checkbox appears (State Transition)</t>
  </si>
  <si>
    <t>11 questions NO, question 10 = YES (checkbox hidden)</t>
  </si>
  <si>
    <t>1. Change question 10 from Yes to No
2. Observe the confirmation checkbox</t>
  </si>
  <si>
    <t>Q10 Yes→No</t>
  </si>
  <si>
    <t>1. When all answers become NO → the confirmation checkbox appears</t>
  </si>
  <si>
    <t>PPAC_MED_TC_067</t>
  </si>
  <si>
    <t>Change 1 question from NO to YES after ticking → checkbox hidden + reset (State Transition)</t>
  </si>
  <si>
    <t>All NO, the confirmation already ticked</t>
  </si>
  <si>
    <t>1. Change question 3 to Yes
2. Observe the checkbox</t>
  </si>
  <si>
    <t>Q3 No→Yes</t>
  </si>
  <si>
    <t>1. The confirmation checkbox is hidden (and the ticked state is reset)</t>
  </si>
  <si>
    <t>PPAC_MED_TC_068</t>
  </si>
  <si>
    <t>All questions = YES → still allowed to continue, no checkbox</t>
  </si>
  <si>
    <t>1. Select Yes for all 12 questions
2. Tap "Next →"</t>
  </si>
  <si>
    <t>all YES</t>
  </si>
  <si>
    <t>1. No confirmation checkbox; navigate to Contract (document the behaviour with YES)</t>
  </si>
  <si>
    <t>PPAC_MED_TC_069</t>
  </si>
  <si>
    <t>Question 12 (Hand/Arm vibration) displays the correct content</t>
  </si>
  <si>
    <t>1. Observe question 12</t>
  </si>
  <si>
    <t>1. Question 12 "Have you experienced any Hand/Arm problems from operating vibrating equipment?*" is displayed correctly (with a * at the end of the sentence)</t>
  </si>
  <si>
    <t>PPAC_MED_TC_070</t>
  </si>
  <si>
    <t>All 12 questions unanswered → all show an error</t>
  </si>
  <si>
    <t>Medical Self-Certification screen empty</t>
  </si>
  <si>
    <t>1. Do not answer any question
2. Tap "Next →"</t>
  </si>
  <si>
    <t>1. Each question displays "Please answer this question"</t>
  </si>
  <si>
    <t>PPAC_MED_TC_071</t>
  </si>
  <si>
    <t>Each question can only select 1 of Yes/No (mutually exclusive radios)</t>
  </si>
  <si>
    <t>1. Select Yes for question 1
2. Select No for question 1</t>
  </si>
  <si>
    <t>Q1 Yes→No</t>
  </si>
  <si>
    <t>1. Only 1 selection is active; selecting No deselects Yes</t>
  </si>
  <si>
    <t>PPAC_MED_TC_072</t>
  </si>
  <si>
    <t>Confirmation checkbox text correct verbatim</t>
  </si>
  <si>
    <t>All NO, checkbox displayed</t>
  </si>
  <si>
    <t>1. Read the checkbox text</t>
  </si>
  <si>
    <t>1. The text is exactly "I confirm that I have selected 'NO' to all of the medical self-certification declarations above."</t>
  </si>
  <si>
    <t>PPAC_CONTRACT_TC_080</t>
  </si>
  <si>
    <t>M05</t>
  </si>
  <si>
    <t>Tick the acceptance checkbox → proceed to PPE (VAL-11)</t>
  </si>
  <si>
    <t>Past Medical, Contract of Sentinel Scheme Sponsorship screen</t>
  </si>
  <si>
    <t>1. Scroll to read the contract content
2. Tick the acceptance checkbox
3. Tap "Next →"</t>
  </si>
  <si>
    <t>checkbox checked</t>
  </si>
  <si>
    <t>1. Navigate to PPE</t>
  </si>
  <si>
    <t>PPAC_CONTRACT_TC_081</t>
  </si>
  <si>
    <t>Acceptance not ticked → block Next (VAL-11)</t>
  </si>
  <si>
    <t>Contract screen</t>
  </si>
  <si>
    <t>1. Do not tick the checkbox
2. Tap "Next →"</t>
  </si>
  <si>
    <t>checkbox unchecked</t>
  </si>
  <si>
    <t>1. No navigation; the red error "Please review and confirm this to continue." is displayed below the checkbox</t>
  </si>
  <si>
    <t>PPAC_CONTRACT_TC_082</t>
  </si>
  <si>
    <t>Display all contract sections</t>
  </si>
  <si>
    <t>1. Scroll through all the content</t>
  </si>
  <si>
    <t>1. All 5 numbered sections present: 1. Duties · 2. Candidate Responsibilities · 3. Primary Sponsor Responsibilities · 4. Misconduct · 5. Withdrawal of Sentinel Competence Cards; + the "Sentinel Scheme Declaration" section at the end</t>
  </si>
  <si>
    <t>PPAC_CONTRACT_TC_083</t>
  </si>
  <si>
    <t>Acceptance checkbox text correct verbatim</t>
  </si>
  <si>
    <t>1. The text is exactly "I have read, and agree to be bound by, the above Contract of Sentinel Scheme Sponsorship."</t>
  </si>
  <si>
    <t>PPAC_CONTRACT_TC_084</t>
  </si>
  <si>
    <t>Contract content is scrollable, no e-signature</t>
  </si>
  <si>
    <t>1. Scroll the long content
2. Look for a signature field</t>
  </si>
  <si>
    <t>1. The content is scrollable; acceptance is only via the checkbox (no e-signature field)</t>
  </si>
  <si>
    <t>PPAC_PPE_TC_090</t>
  </si>
  <si>
    <t>M06</t>
  </si>
  <si>
    <t>Answer all 9 PPE items → proceed to Safety Critical</t>
  </si>
  <si>
    <t>Past Contract, PPE screen</t>
  </si>
  <si>
    <t>1. Select Yes/No for each of the 9 PPE items
2. Tap "Next →"</t>
  </si>
  <si>
    <t>all items = Yes</t>
  </si>
  <si>
    <t>1. Navigate to Safety Critical Certifications</t>
  </si>
  <si>
    <t>PPAC_PPE_TC_091</t>
  </si>
  <si>
    <t>Display all 9 PPE items with correct names + intro</t>
  </si>
  <si>
    <t>PPE screen</t>
  </si>
  <si>
    <t>1. Observe the intro and the list of items</t>
  </si>
  <si>
    <t>1. Intro "Please indicate below which items of Personal Protective Equipment (PPE) you are in possession of."; all 9 items: Safety Shoes / Boots, Bump / Hard Hat, H.V. Vests, H.V. Clothing, Ear Protection, Eye Protection, Respiratory Equipment, Overalls, Gloves</t>
  </si>
  <si>
    <t>PPAC_PPE_TC_092</t>
  </si>
  <si>
    <t>At least 1 item left empty → error</t>
  </si>
  <si>
    <t>1. Leave the "Gloves" item empty
2. Answer the other items
3. Tap "Next →"</t>
  </si>
  <si>
    <t>Gloves = (not selected)</t>
  </si>
  <si>
    <t>1. "Please answer this question" is displayed at the Gloves item; no navigation</t>
  </si>
  <si>
    <t>PPAC_PPE_TC_093</t>
  </si>
  <si>
    <t>All items = No → still allowed to continue</t>
  </si>
  <si>
    <t>1. Select No for all 9 items
2. Tap "Next →"</t>
  </si>
  <si>
    <t>all No</t>
  </si>
  <si>
    <t>1. Navigate to Safety Critical (document the behaviour when no PPE is owned)</t>
  </si>
  <si>
    <t>PPAC_PPE_TC_094</t>
  </si>
  <si>
    <t>Mixed Yes/No answers → each item saved correctly</t>
  </si>
  <si>
    <t>1. Select Yes for the odd items, No for the even items
2. Tap "Next →"</t>
  </si>
  <si>
    <t>mixed Yes/No</t>
  </si>
  <si>
    <t>1. Each item saves the correct selection; navigate</t>
  </si>
  <si>
    <t>PPAC_PPE_TC_095</t>
  </si>
  <si>
    <t>Each item radio selects only 1 (Yes/No mutually exclusive)</t>
  </si>
  <si>
    <t>1. Select Yes then No for the "Safety Shoes / Boots" item</t>
  </si>
  <si>
    <t>toggle Yes→No</t>
  </si>
  <si>
    <t>1. Only 1 selection is active</t>
  </si>
  <si>
    <t>PPAC_PPE_TC_096</t>
  </si>
  <si>
    <t>All left empty → all items show an error</t>
  </si>
  <si>
    <t>PPE screen empty</t>
  </si>
  <si>
    <t>1. Do not select any item
2. Tap "Next →"</t>
  </si>
  <si>
    <t>1. Each item displays "Please answer this question"</t>
  </si>
  <si>
    <t>PPAC_PPE_TC_097</t>
  </si>
  <si>
    <t>Back from PPE to Contract retains the PPE data</t>
  </si>
  <si>
    <t>PPE partially answered</t>
  </si>
  <si>
    <t>1. Tap Back
2. Return to PPE</t>
  </si>
  <si>
    <t>1. Document the actual behaviour: whether the PPE data is retained or reset</t>
  </si>
  <si>
    <t>PPAC_SAFETY_TC_100</t>
  </si>
  <si>
    <t>M07</t>
  </si>
  <si>
    <t>Gate "Are you subject to any medical restrictions?" = No → hide the detail field; the cert list is still displayed (BR-16)</t>
  </si>
  <si>
    <t>Past PPE, Safety Critical Certifications screen</t>
  </si>
  <si>
    <t>1. Select "No" for "Are you subject to any medical restrictions?"
2. Observe the form</t>
  </si>
  <si>
    <t>gate = No</t>
  </si>
  <si>
    <t>1. The "Please enter details of medical restrictions" field is NOT displayed
2. The heading "Please provide below details of all competency restrictions" + the list of 16 certs (Yes/No) is STILL displayed in full (the cert list is always present, independent of the gate)</t>
  </si>
  <si>
    <t>PPAC_SAFETY_TC_101</t>
  </si>
  <si>
    <t>Gate = Yes → show the "details of medical restrictions" field (required when gate=Yes)</t>
  </si>
  <si>
    <t>Safety Critical Certifications screen</t>
  </si>
  <si>
    <t>1. Select "Yes" for the gate question
2. Observe the form
3. Leave the detail field empty, tap "Next →"</t>
  </si>
  <si>
    <t>gate = Yes, detail = (empty)</t>
  </si>
  <si>
    <t>1. The "Please enter details of medical restrictions" field is displayed (placeholder "Please enter here", helper "Please be as specific as possible")
2. Leaving the field empty → required-field error, no navigation</t>
  </si>
  <si>
    <t>PPAC_SAFETY_TC_102</t>
  </si>
  <si>
    <t>Gate = No + answer all 16 certs = No → Next to Lost &amp; Stolen</t>
  </si>
  <si>
    <t>Safety Critical screen, gate = No</t>
  </si>
  <si>
    <t>1. Select gate = No
2. Answer "No" for all 16 certs
3. Tap "Next →"</t>
  </si>
  <si>
    <t>gate = No; all 16 certs = No</t>
  </si>
  <si>
    <t>1. Navigate to Lost &amp; Stolen Sentinel Cards</t>
  </si>
  <si>
    <t>PPAC_SAFETY_TC_103</t>
  </si>
  <si>
    <t>Cert = Yes but Duration left empty → error "Please enter the duration" (per-cert)</t>
  </si>
  <si>
    <t>Safety Critical screen, one cert (e.g. PTS AC) = Yes → the "[Cert] - Duration Held (Years &amp; Months)" field is displayed</t>
  </si>
  <si>
    <t>1. Leave "PTS AC - Duration Held (Years &amp; Months)" empty
2. Tap "Next →"</t>
  </si>
  <si>
    <t>PTS AC = Yes, Duration = (empty)</t>
  </si>
  <si>
    <t>1. "Please enter the duration" is displayed at that cert's Duration field; no navigation</t>
  </si>
  <si>
    <t>PPAC_SAFETY_TC_104</t>
  </si>
  <si>
    <t>Cert = Yes + enter a valid Duration → Next to Lost &amp; Stolen</t>
  </si>
  <si>
    <t>1. Select 1 cert = Yes, enter a valid Duration; the remaining certs = No
2. Tap "Next →"</t>
  </si>
  <si>
    <t>PTS AC = Yes, Duration = "2 years 3 months"; rest = No</t>
  </si>
  <si>
    <t>PPAC_SAFETY_TC_105</t>
  </si>
  <si>
    <t>Change gate Yes→No and cert Yes→No → the conditional fields are hidden (State Transition)</t>
  </si>
  <si>
    <t>gate = Yes (detail field displayed) + 1 cert = Yes (Duration field displayed)</t>
  </si>
  <si>
    <t>1. Change the gate to No
2. Change that cert to No
3. Observe</t>
  </si>
  <si>
    <t>gate Yes→No; cert Yes→No</t>
  </si>
  <si>
    <t>1. Change gate → No: the "Please enter details of medical restrictions" field is hidden
2. Change cert → No: that cert's "[Cert] - Duration Held" field is hidden</t>
  </si>
  <si>
    <t>PPAC_SAFETY_TC_106</t>
  </si>
  <si>
    <t>Gate unanswered → required-field error</t>
  </si>
  <si>
    <t>Safety Critical screen</t>
  </si>
  <si>
    <t>1. Do not answer the gate question
2. Tap "Next →"</t>
  </si>
  <si>
    <t>gate = (empty)</t>
  </si>
  <si>
    <t>1. "Please answer this question" is displayed</t>
  </si>
  <si>
    <t>PPAC_SAFETY_TC_107</t>
  </si>
  <si>
    <t>Display the list of 16 Yes/No certs + each cert is mandatory (AMB-05)</t>
  </si>
  <si>
    <t>1. Observe the heading + the list of certifications
2. Leave 1 cert empty, tap "Next →"</t>
  </si>
  <si>
    <t>1. Heading "Please provide below details of all competency restrictions"; all 16 Yes/No certs: PTS AC, PTS DCCR, AOD PO, AOD LXA, COSS, LKT/SW, Level A, IWA, PC, PS, ES, MC/CC, LB 3rd – R ST-i, DLR Track Awareness, PICOW, Other
2. Each cert is mandatory — leaving empty → "Please answer this question" is displayed at that cert; no navigation</t>
  </si>
  <si>
    <t>PPAC_SAFETY_TC_108</t>
  </si>
  <si>
    <t>Duration field placeholder correct verbatim</t>
  </si>
  <si>
    <t>1 cert = Yes (the "[Cert] - Duration Held" field displayed)</t>
  </si>
  <si>
    <t>1. Observe the Duration field placeholder</t>
  </si>
  <si>
    <t>1. The placeholder "e.g. 2 years 3 months" is displayed</t>
  </si>
  <si>
    <t>PPAC_SAFETY_TC_109</t>
  </si>
  <si>
    <t>"Other" cert = Yes → show the free-text "Other competencies" field</t>
  </si>
  <si>
    <t>Safety Critical screen, cert "Other" = Yes</t>
  </si>
  <si>
    <t>1. Select cert "Other" = Yes
2. Enter text into the "Other competencies" field</t>
  </si>
  <si>
    <t>"Track Inspection L2"</t>
  </si>
  <si>
    <t>1. The "Other competencies" field is shown; the field accepts the free-text value</t>
  </si>
  <si>
    <t>PPAC_LOST_TC_110</t>
  </si>
  <si>
    <t>M08</t>
  </si>
  <si>
    <t>Tick the £25 + VAT confirmation → proceed to Declaration (BR-17/VAL-12)</t>
  </si>
  <si>
    <t>Past Safety Critical, Lost &amp; Stolen Sentinel Cards screen</t>
  </si>
  <si>
    <t>1. Navigate to Declaration (final)</t>
  </si>
  <si>
    <t>PPAC_LOST_TC_111</t>
  </si>
  <si>
    <t>Not ticked → block Next (VAL-12)</t>
  </si>
  <si>
    <t>Lost &amp; Stolen Sentinel Cards screen</t>
  </si>
  <si>
    <t>1. No navigation; an error requiring the confirmation to be ticked is displayed (⚠️ verify the error verbatim — it may be "Please confirm this to continue." as in M04/M05)</t>
  </si>
  <si>
    <t>PPAC_LOST_TC_112</t>
  </si>
  <si>
    <t>Checkbox text correct verbatim + currency symbol</t>
  </si>
  <si>
    <t>1. The text is exactly "I confirm that I will pay £25 + VAT if my Sentinel card is lost or stolen to Ballycommon" (the £ symbol is displayed correctly)</t>
  </si>
  <si>
    <t>PPAC_LOST_TC_113</t>
  </si>
  <si>
    <t>Screen title displayed correctly</t>
  </si>
  <si>
    <t>1. Observe the title</t>
  </si>
  <si>
    <t>1. The title "Lost &amp; Stolen Sentinel Cards" is displayed</t>
  </si>
  <si>
    <t>PPAC_DECL_TC_120</t>
  </si>
  <si>
    <t>M09</t>
  </si>
  <si>
    <t>Tick all mandatory declarations + Submit → onboarding saved successfully (BR-18/VAL-13/AC-14)</t>
  </si>
  <si>
    <t>Past Lost &amp; Stolen, Declaration screen (final)</t>
  </si>
  <si>
    <t>1. Tick all mandatory declaration checkboxes
2. Tap "Next →" (Submit)</t>
  </si>
  <si>
    <t>all checkboxes checked</t>
  </si>
  <si>
    <t>1. Onboarding submits successfully; the system saves the data (a completion confirmation screen is displayed)</t>
  </si>
  <si>
    <t>PPAC_DECL_TC_121</t>
  </si>
  <si>
    <t>Missing at least 1 mandatory declaration → cannot submit (AC-11/VAL-13)</t>
  </si>
  <si>
    <t>Declaration screen</t>
  </si>
  <si>
    <t>1. Leave 1 mandatory declaration checkbox empty
2. Observe the "Next →" button</t>
  </si>
  <si>
    <t>1 checkbox unchecked</t>
  </si>
  <si>
    <t>1. Cannot submit: the "Next →" button is in the disabled state while at least 1 mandatory declaration remains unticked (CR-01, see TC_150–TC_153). (Behaviour before the CR: the button was tappable → tapping showed the red error "Please review and confirm this to continue." below the unticked item)</t>
  </si>
  <si>
    <t>PPAC_DECL_TC_122</t>
  </si>
  <si>
    <t>Display all 11 declaration items with correct content</t>
  </si>
  <si>
    <t>1. Observe the list of declarations</t>
  </si>
  <si>
    <t>1. All 11 items correct verbatim, in the correct order: (1) "I declare that the contents of this application form are true." (2) "I authorise Ballycommon to contact my past employers for references." (3) "I am fit, well and able to undertake manual work on building, M &amp; E, civil &amp; railway engineering contracts." (4) "I authorise the deduction of equipment, services or training costs from my payments." (5) "I am not suffering from any occupational illness that could affect my ability to perform my duties." (6) "I have never been dismissed from any company for being under the influence of drugs or alcohol." (7) "I am willing to undertake a drugs and/or alcohol test at any time if requested by Ballycommon or the client." (8) "I will inform Ballycommon if I am taking any medication that may affect my ability to undertake my duties." (9) "I will inform Ballycommon of any hours worked for other employers and will comply with the relevant industry standards relating to working hours." (10) "I will inform Ballycommon of any changes to my medical condition or my fitness for work." (11) "I consent to Ballycommon sharing my personal data with their clients and other relevant third parties involved in the recruitment and compliance process. (Ballycommon will only share information that is necessary for assessing your suitability for roles, arranging placements or adhering to client compliance requests and will always handle your data in accordance with UK data-protection legislation)."</t>
  </si>
  <si>
    <t>PPAC_DECL_TC_123</t>
  </si>
  <si>
    <t>All 11 items are mandatory checkboxes (no info-only item)</t>
  </si>
  <si>
    <t>1. Observe each declaration item
2. Check item 11 (consent + the GDPR paragraph in parentheses)</t>
  </si>
  <si>
    <t>1. All 11 items have a checkbox and all are mandatory to tick; item 11 (data-sharing consent) is a checkbox — the GDPR paragraph is WITHIN the content of item 11, not a separate info-only item</t>
  </si>
  <si>
    <t>PPAC_DECL_TC_124</t>
  </si>
  <si>
    <t>The railway declaration item is displayed correctly</t>
  </si>
  <si>
    <t>1. Observe the item about "railway engineering contracts"</t>
  </si>
  <si>
    <t>1. The item "I am fit, well and able to undertake manual work on building, M &amp; E, civil &amp; railway engineering contracts." is displayed correctly</t>
  </si>
  <si>
    <t>PPAC_DECL_TC_125</t>
  </si>
  <si>
    <t>The final submit button shows "Next →" (AMB-08)</t>
  </si>
  <si>
    <t>1. Observe the label of the final button</t>
  </si>
  <si>
    <t>1. The button shows "Next →" (⚠️ verify: requirements call it "Submit"); tapping performs the onboarding submission</t>
  </si>
  <si>
    <t>PPAC_DECL_TC_126</t>
  </si>
  <si>
    <t>Tick the data-sharing consent (item 11 — final)</t>
  </si>
  <si>
    <t>1. Tick the item "I consent to Ballycommon sharing my personal data…"</t>
  </si>
  <si>
    <t>consent checked</t>
  </si>
  <si>
    <t>1. The consent checkbox enters the checked state</t>
  </si>
  <si>
    <t>PPAC_DECL_TC_127</t>
  </si>
  <si>
    <t>Leave all declarations empty → submit blocked</t>
  </si>
  <si>
    <t>Declaration screen empty</t>
  </si>
  <si>
    <t>1. Do not tick any item
2. Observe the "Next →" button</t>
  </si>
  <si>
    <t>all unchecked</t>
  </si>
  <si>
    <t>1. Cannot submit: the "Next →" button is disabled when no item is ticked (CR-01). (Behaviour before the CR: the button was tappable → required the mandatory declarations to be ticked)</t>
  </si>
  <si>
    <t>PPAC_E2E_TC_130</t>
  </si>
  <si>
    <t>M10</t>
  </si>
  <si>
    <t>E2E happy path Rail + Workwell — complete all 8 forms → onboarding saved successfully (AC-06/AC-14)</t>
  </si>
  <si>
    <t>New worker, prefix BALLYCOMMON-RAIL</t>
  </si>
  <si>
    <t>1. Enter prefix BALLYCOMMON-RAIL → Continue
2. Complete Your Details (Sentinel + Payroll=Workwell)
3. Complete 2 References
4. Medical: all NO + tick the confirmation
5. Contract: tick acceptance
6. PPE: answer all 9 items
7. Safety Critical: gate=No + answer all 16 certs (e.g. all=No)
8. Lost &amp; Stolen: tick £25+VAT
9. Declaration: tick all 11 items + Submit</t>
  </si>
  <si>
    <t>Email = auto_bcrail_e2e_130_20260602@yopmail.com; NIN = AB123456C; Sentinel = SEN130
Payroll = Workwell Contractor Solutions; DOB = 01/01/1990</t>
  </si>
  <si>
    <t>1. Go through the 8 forms in the correct order without being blocked
2. Submit successfully; the onboarding data is saved (AC-14)</t>
  </si>
  <si>
    <t>PPAC_E2E_TC_131</t>
  </si>
  <si>
    <t>E2E negative — stop midway then return via "Continue onboarding"</t>
  </si>
  <si>
    <t>Worker completed up to Medical then exited the app</t>
  </si>
  <si>
    <t>1. Reopen the onboarding, enter prefix BALLYCOMMON-RAIL
2. "Continue onboarding?" dialog → tap "Continue"
3. Observe the returned screen</t>
  </si>
  <si>
    <t>onboarding pending at Medical</t>
  </si>
  <si>
    <t>1. Return to the correct in-progress screen (Medical), the previous data is retained</t>
  </si>
  <si>
    <t>PPAC_DECL_TC_150</t>
  </si>
  <si>
    <t>[CR-01] "Next →" button DISABLED when not all mandatory declarations are ticked (gating)</t>
  </si>
  <si>
    <t>Past Lost &amp; Stolen, just entered the Declaration screen, no item ticked</t>
  </si>
  <si>
    <t>1. Observe the state of the "Next →" button when nothing on the form is ticked</t>
  </si>
  <si>
    <t>none checked</t>
  </si>
  <si>
    <t>1. The "Next →" button is in the disabled state (greyed out/does not accept taps) → cannot submit while a mandatory declaration remains unticked</t>
  </si>
  <si>
    <t>PPAC_DECL_TC_151</t>
  </si>
  <si>
    <t>[CR-01] Tick all 11 mandatory items → the "Next →" button changes to ENABLED + can submit</t>
  </si>
  <si>
    <t>Declaration screen, the "Next →" button is disabled</t>
  </si>
  <si>
    <t>1. Tick all 11 mandatory declaration items in turn
2. Observe the "Next →" button
3. Tap "Next →"</t>
  </si>
  <si>
    <t>all 11 checked</t>
  </si>
  <si>
    <t>1. After the 11th item is ticked → the "Next →" button changes to enabled
2. Tap submits successfully; navigate to the onboarding completion confirmation screen</t>
  </si>
  <si>
    <t>PPAC_DECL_TC_152</t>
  </si>
  <si>
    <t>[CR-01] Exactly 1 item left unticked (10/11) → the button stays DISABLED (State Transition)</t>
  </si>
  <si>
    <t>1. Tick 10 items, leave any 1 mandatory item empty
2. Observe the "Next →" button</t>
  </si>
  <si>
    <t>10/11 checked</t>
  </si>
  <si>
    <t>1. The "Next →" button stays disabled; cannot submit; even a single empty mandatory item keeps the button inactive</t>
  </si>
  <si>
    <t>PPAC_DECL_TC_153</t>
  </si>
  <si>
    <t>[CR-01] Untick 1 item after all are complete → the button returns to DISABLED (State Transition)</t>
  </si>
  <si>
    <t>Declaration screen, all 11 items ticked, the "Next →" button enabled</t>
  </si>
  <si>
    <t>1. Untick any 1 item
2. Observe the "Next →" button</t>
  </si>
  <si>
    <t>1 item unticked</t>
  </si>
  <si>
    <t>1. The "Next →" button immediately returns to the disabled state</t>
  </si>
  <si>
    <t>PPAC_DECL_TC_154</t>
  </si>
  <si>
    <t>[CR-02] UK spelling "authorise" at item 2 &amp; item 4 — does NOT use "authorize" (z)</t>
  </si>
  <si>
    <t>1. Read item 2 and item 4 of the declaration verbatim</t>
  </si>
  <si>
    <t>1. Item 2 = "I authorise Ballycommon to contact my past employers for references." and item 4 = "I authorise the deduction of equipment, services or training costs from my payments."
2. The US spelling "authorize" does not appear in any item</t>
  </si>
  <si>
    <t>PPAC_DECL_TC_155</t>
  </si>
  <si>
    <t>[CR-02] Scan all 11 items — all use UK English, no remaining US spelling/grammar errors</t>
  </si>
  <si>
    <t>1. Review the spelling/grammar of all 11 items (authorize→authorise, recognize, organize, license…)</t>
  </si>
  <si>
    <t>1. All 11 items use UK English consistently; no remaining US spelling; document any remaining incorrect word/grammar</t>
  </si>
  <si>
    <t>PPAC_DECL_TC_156</t>
  </si>
  <si>
    <t>[CR-03] The 11 declaration items have no 2 items with duplicate content</t>
  </si>
  <si>
    <t>1. Compare the content of the 11 declaration items with one another
2. Count the items</t>
  </si>
  <si>
    <t>1. Exactly 11 unique items, none duplicated/doubled; the same declaration sentence does not appear ≥2 times in the list</t>
  </si>
  <si>
    <t>PPAC_DECL_TC_157</t>
  </si>
  <si>
    <t>[CR-03] No repeated declaration statement between the earlier forms (M05 Contract / M08 Lost &amp; Stolen) and M09 Declaration</t>
  </si>
  <si>
    <t>Gone through the full flow to the Declaration screen</t>
  </si>
  <si>
    <t>1. Cross-check the declaration statements in M05 (Sentinel Scheme Declaration), M08 (Lost &amp; Stolen) against the 11 M09 items</t>
  </si>
  <si>
    <t>1. Each declaration statement appears only once across the whole journey; no sentence is repeated between forms; document any overlap if found</t>
  </si>
  <si>
    <t>Construction</t>
  </si>
  <si>
    <t>PPAC_BCCON_PREFIX_TC_001</t>
  </si>
  <si>
    <t>Type the prefix → select BALLYCOMMON - CONSTRUCTION from the dropdown → Continue → enter Construction onboarding</t>
  </si>
  <si>
    <t>Worker opens the Ballycommon onboarding link, on the "Enter company prefix" screen</t>
  </si>
  <si>
    <t>1. Type "BALL" in the company name field
2. In the suggestion dropdown, tap "BALLYCOMMON - CONSTRUCTION"
3. Tap "Continue →"</t>
  </si>
  <si>
    <t>prefix typed = BALLY; selected = BALLYCOMMON - CONSTRUCTION</t>
  </si>
  <si>
    <t>1. The value "BALLYCOMMON - CONSTRUCTION" is entered into the input field; the suggestion dropdown is hidden
2. Helper text "If you're unsure, ask your on-site manager." (with ? icon) is shown
3. Tap Continue → navigate to the Your Details form (Construction sector)</t>
  </si>
  <si>
    <t>PPAC_BCCON_PREFIX_TC_002</t>
  </si>
  <si>
    <t>Display the correct Welcome screen content</t>
  </si>
  <si>
    <t>1. The title "Welcome to PPAC, [User]!" + heading "Enter company prefix" + description "We use this to identify your contractor or site." are displayed correctly</t>
  </si>
  <si>
    <t>PPAC_BCCON_PREFIX_TC_003</t>
  </si>
  <si>
    <t>Worker already has an incomplete Ballycommon-Construction onboarding, re-enters the BALLYCOMMON-CONSTRUCTION prefix</t>
  </si>
  <si>
    <t>1. Enter the BALLYCOMMON-CONSTRUCTION prefix, tap "Continue →"
2. Observe the popup shown
3. Tap "Continue"</t>
  </si>
  <si>
    <t>prefix = BALLYCOMMON-CONSTRUCTION, has a pending onboarding</t>
  </si>
  <si>
    <t>1. Popup is shown: title "Continue onboarding?" + body "You have an existing onboarding for Ballycommon - Construction. Do you want to continue?" + 2 buttons "Continue" and "Start a new onboarding!"
2. Tap "Continue" → navigate to the correct pending (in-progress) screen, the previous data is retained</t>
  </si>
  <si>
    <t>PPAC_BCCON_PREFIX_TC_004</t>
  </si>
  <si>
    <t>"Continue onboarding?" popup → select "Start a new onboarding!" → restart from the beginning</t>
  </si>
  <si>
    <t>Worker has a pending onboarding, the "Continue onboarding?" popup is shown</t>
  </si>
  <si>
    <t>has a pending onboarding</t>
  </si>
  <si>
    <t>1. The old onboarding is fully cancelled/discarded; restart from the first form (Your Details), the previous pending data is gone</t>
  </si>
  <si>
    <t>PPAC_BCCON_PREFIX_TC_005</t>
  </si>
  <si>
    <t>Empty prefix → cannot proceed</t>
  </si>
  <si>
    <t>1. No navigation; a message requesting the prefix entry is shown</t>
  </si>
  <si>
    <t>PPAC_BCCON_PREFIX_TC_006</t>
  </si>
  <si>
    <t>Invalid prefix → no suggestion shown</t>
  </si>
  <si>
    <t>1. Type a non-existent prefix
2. Observe the suggestion dropdown</t>
  </si>
  <si>
    <t>1. The dropdown does NOT show any suggestion → no prefix can be selected, no onboarding is entered</t>
  </si>
  <si>
    <t>PPAC_BCCON_PREFIX_TC_007</t>
  </si>
  <si>
    <t>Type part of the prefix → the suggestion dropdown shows all matching companies (autocomplete)</t>
  </si>
  <si>
    <t>1. Type "BALL" in the company name field
2. Observe the suggestion list</t>
  </si>
  <si>
    <t>1. The dropdown shows both matching options: "BALLYCOMMON - CONSTRUCTION" and "BALLYCOMMON - RAIL"; the "Continue →" button is shown below</t>
  </si>
  <si>
    <t>PPAC_BCCON_PREFIX_TC_008</t>
  </si>
  <si>
    <t>Select an item from the dropdown → input filled + dropdown hidden + helper text shown (State Transition)</t>
  </si>
  <si>
    <t>Already typed "BALL", the suggestion dropdown is shown</t>
  </si>
  <si>
    <t>1. Tap "BALLYCOMMON - CONSTRUCTION" in the dropdown
2. Observe the input field and helper text</t>
  </si>
  <si>
    <t>selected = BALLYCOMMON - CONSTRUCTION</t>
  </si>
  <si>
    <t>1. The input field is filled with "BALLYCOMMON - CONSTRUCTION"; the suggestion dropdown is hidden
2. Helper text "If you're unsure, ask your on-site manager." (? icon) appears</t>
  </si>
  <si>
    <t>PPAC_BCCON_DETAILS_TC_010</t>
  </si>
  <si>
    <t>Enter complete valid Your Details (Construction + CWG) → proceed to References</t>
  </si>
  <si>
    <t>Already entered Construction onboarding, on the Your Details screen</t>
  </si>
  <si>
    <t>1. Enter complete + valid Personal Information
2. Enter complete Address
3. Select Consultant, Trade, Qualification from the dropdowns
4. Enter complete Next of Kin
5. Select Payroll = "CWG (Provider for CIS)"
6. Tap "Next →"</t>
  </si>
  <si>
    <t>First name = Harry; Surname = Vo; Email = auto_bccon_010_20260623@yopmail.com
NIN = AB123456C; DOB = 01/01/1990
Payroll = CWG (Provider for CIS)</t>
  </si>
  <si>
    <t>1. All fields accept their values, no errors (does NOT have a Sentinel Number field)
2. Navigate to the References form</t>
  </si>
  <si>
    <t>PPAC_BCCON_DETAILS_TC_011</t>
  </si>
  <si>
    <t>Display the correct structure &amp; labels of the field groups (no Sentinel)</t>
  </si>
  <si>
    <t>1. All groups present; labels are correct; Next of Kin helper "Please provide details of someone we can contact in case of emergency."; the Sentinel Number field is NOT displayed (because Construction)</t>
  </si>
  <si>
    <t>PPAC_BCCON_DETAILS_TC_012</t>
  </si>
  <si>
    <t>Empty Surname → required-field error</t>
  </si>
  <si>
    <t>1. "Please fill in this field" is shown at Surname; no navigation</t>
  </si>
  <si>
    <t>PPAC_BCCON_DETAILS_TC_013</t>
  </si>
  <si>
    <t>1. "Please select here" is shown at Consultant</t>
  </si>
  <si>
    <t>PPAC_BCCON_DETAILS_TC_014</t>
  </si>
  <si>
    <t>Multiple required fields empty at once → all errors shown</t>
  </si>
  <si>
    <t>1. Leave all required fields empty
2. Tap "Next →"</t>
  </si>
  <si>
    <t>1. Each required field shows its corresponding error message; no navigation</t>
  </si>
  <si>
    <t>PPAC_BCCON_DETAILS_TC_015</t>
  </si>
  <si>
    <t>Invalid-format email → error</t>
  </si>
  <si>
    <t>1. "Please enter a valid email address" is shown; no navigation</t>
  </si>
  <si>
    <t>PPAC_BCCON_DETAILS_TC_016</t>
  </si>
  <si>
    <t>1. "Please enter a valid email address" is shown</t>
  </si>
  <si>
    <t>PPAC_BCCON_DETAILS_TC_017</t>
  </si>
  <si>
    <t>1. Enter a correctly-formatted email
2. Leave focus</t>
  </si>
  <si>
    <t>Email = auto_bccon_017_20260623@yopmail.com</t>
  </si>
  <si>
    <t>PPAC_BCCON_DETAILS_TC_018</t>
  </si>
  <si>
    <t>Invalid-format NIN → format error</t>
  </si>
  <si>
    <t>1. Enter an invalid-format NIN
2. Tap "Next →"</t>
  </si>
  <si>
    <t>1. "Please enter the right format: 2 letters, 6 numbers, 1 letter (e.g. AA999999A)" is shown</t>
  </si>
  <si>
    <t>PPAC_BCCON_DETAILS_TC_019</t>
  </si>
  <si>
    <t>NIN in correct AA999999A format → accepted</t>
  </si>
  <si>
    <t>1. Enter a correctly-formatted NIN
2. Leave focus</t>
  </si>
  <si>
    <t>PPAC_BCCON_DETAILS_TC_020</t>
  </si>
  <si>
    <t>NIN with wrong character count (boundary) → error</t>
  </si>
  <si>
    <t>1. Enter a NIN missing 1 digit (AB12345C)
2. Tap "Next →"</t>
  </si>
  <si>
    <t>1. NIN format error is shown</t>
  </si>
  <si>
    <t>PPAC_BCCON_DETAILS_TC_021</t>
  </si>
  <si>
    <t>Sentinel Number NOT displayed when Sector = Construction (BR-04/AC-03)</t>
  </si>
  <si>
    <t>Construction onboarding, Your Details screen</t>
  </si>
  <si>
    <t>1. Scroll through all of Personal Information looking for a "Sentinel Number" field</t>
  </si>
  <si>
    <t>Sector = Construction</t>
  </si>
  <si>
    <t>1. No "Sentinel Number" field on the form (different from Rail — this is the main sector-distinguishing point)</t>
  </si>
  <si>
    <t>PPAC_BCCON_DETAILS_TC_024</t>
  </si>
  <si>
    <t>DOB under 16 years old → blocked right in the DOB picker</t>
  </si>
  <si>
    <t>1. Open the "Select your date of birth" picker
2. Scroll to select a date making the age &lt; 16
3. Observe the subtitle and the "Save" button</t>
  </si>
  <si>
    <t>DOB = 01/07/2011 (15 years old as of 2026-06-23)</t>
  </si>
  <si>
    <t>PPAC_BCCON_DETAILS_TC_025</t>
  </si>
  <si>
    <t>DOB exactly 16 years old (boundary) → Save allowed</t>
  </si>
  <si>
    <t>1. Scroll to select a DOB exactly 16 years old
2. Observe the subtitle and the "Save" button</t>
  </si>
  <si>
    <t>DOB = 23/06/2010 (exactly 16 as of 2026-06-23)</t>
  </si>
  <si>
    <t>PPAC_BCCON_DETAILS_TC_026</t>
  </si>
  <si>
    <t>1. Scroll to select a DOB making the age = 15 years 364 days
2. Observe the subtitle and the "Save" button</t>
  </si>
  <si>
    <t>DOB = 24/06/2010</t>
  </si>
  <si>
    <t>1. The subtitle turns RED + the "Save" button is disabled (DOB save blocked)</t>
  </si>
  <si>
    <t>PPAC_BCCON_DETAILS_TC_027</t>
  </si>
  <si>
    <t>1. Open the Consultant dropdown
2. Observe the list + Search field
3. Type a keyword, select 1 consultant</t>
  </si>
  <si>
    <t>1. The "Select Consultant" sheet opens, has a "Search" field; the list comes from the API; an item can be selected (marked with CheckCircle)</t>
  </si>
  <si>
    <t>PPAC_BCCON_DETAILS_TC_028</t>
  </si>
  <si>
    <t>Qualification multi-select (select multiple) displayed as tags</t>
  </si>
  <si>
    <t>PPAC_BCCON_DETAILS_TC_029</t>
  </si>
  <si>
    <t>Trade multi-select (select multiple) displayed as tags</t>
  </si>
  <si>
    <t>1. Open the "Select Trade" sheet (has a Search field + checkbox + "Done" button)
2. Tick 2+ trades
3. Tap "Done"</t>
  </si>
  <si>
    <t>1. The sheet is multi-select (square checkboxes), tap "Done" to confirm
2. The selections are displayed as tags with a ✕ button on the Trade field; tags can be removed</t>
  </si>
  <si>
    <t>PPAC_BCCON_DETAILS_TC_030</t>
  </si>
  <si>
    <t>Next of Kin Contact Phone invalid format → error</t>
  </si>
  <si>
    <t>1. "Please enter a valid phone number" is shown</t>
  </si>
  <si>
    <t>PPAC_BCCON_DETAILS_TC_031</t>
  </si>
  <si>
    <t>Relationship to Candidate shows a suggestion placeholder</t>
  </si>
  <si>
    <t>1. The placeholder "e.g. Parent, Spouse, Sibling" is shown</t>
  </si>
  <si>
    <t>PPAC_BCCON_DETAILS_TC_032</t>
  </si>
  <si>
    <t>Select Payroll = CWG (CIS) → activates the 3-form journey (BR-06)</t>
  </si>
  <si>
    <t>1. Open the Payroll provider dropdown
2. Observe the 2 options
3. Select CWG (Provider for CIS)</t>
  </si>
  <si>
    <t>Payroll = CWG (Provider for CIS)</t>
  </si>
  <si>
    <t>1. The dropdown shows "CWG (Provider for CIS)" and "Workwell Contractor Solutions (Provider for PAYE)"; helper "Select your preferred payroll provider"
2. Selecting CWG → the flow goes through exactly the 3 CIS forms (Your Details → References → Declaration)</t>
  </si>
  <si>
    <t>PPAC_BCCON_DETAILS_TC_033</t>
  </si>
  <si>
    <t>1. Leave Payroll provider empty
2. Tap "Next →"</t>
  </si>
  <si>
    <t>1. An error requesting a payroll selection is shown; no navigation</t>
  </si>
  <si>
    <t>PPAC_BCCON_DETAILS_TC_034</t>
  </si>
  <si>
    <t>Partially entered Your Details</t>
  </si>
  <si>
    <t>PPAC_BCCON_DETAILS_TC_035</t>
  </si>
  <si>
    <t>PPAC_BCCON_DETAILS_TC_036</t>
  </si>
  <si>
    <t>Empty Address → required-field error</t>
  </si>
  <si>
    <t>1. Required-field errors are shown at the address fields</t>
  </si>
  <si>
    <t>PPAC_BCCON_DETAILS_TC_037</t>
  </si>
  <si>
    <t>"Where did you hear about us?" can be selected</t>
  </si>
  <si>
    <t>PPAC_BCCON_DETAILS_TC_038</t>
  </si>
  <si>
    <t>Candidate's Mobile Phone invalid format → error (the candidate's own phone field, different from Next of Kin)</t>
  </si>
  <si>
    <t>1. Enter an invalid-format "Candidate's Mobile Phone"
2. Tap "Next →"</t>
  </si>
  <si>
    <t>1. "Please enter a valid phone number" is shown at Candidate's Mobile Phone; no navigation</t>
  </si>
  <si>
    <t>PPAC_BCCON_REF_TC_040</t>
  </si>
  <si>
    <t>Complete exactly 2 valid References → proceed to Declaration (because CWG/CIS)</t>
  </si>
  <si>
    <t>Already completed Your Details, on the References screen</t>
  </si>
  <si>
    <t>1. Complete Referee 1 = Employer referee fully (Type, First Name, Surname, Contact Number, Relationship + Contractor or Company Name + Project or site you worked on)
2. Complete Referee 2 = Personal referee fully
3. Tap "Next →"</t>
  </si>
  <si>
    <t>Referee1: Type=Employer referee, First=John, Surname=Smith, Contact=07700900001, Rel=Manager, Contractor/Company=ABC Build Ltd, Project=ABC Construction Site
Referee2: Type=Personal referee, First=Mary, Surname=Jones, Contact=07700900002, Rel=Colleague</t>
  </si>
  <si>
    <t>1. Both referees accept the data, no errors (Referee 1 = Employer shows the 2 additional fields Contractor/Company + Project and accepts the values)
2. Navigate to Declaration (because CWG/CIS — the rail forms are skipped)</t>
  </si>
  <si>
    <t>PPAC_BCCON_REF_TC_041</t>
  </si>
  <si>
    <t>Display the intro + exactly 2 Referee blocks (BR-08)</t>
  </si>
  <si>
    <t>PPAC_BCCON_REF_TC_042</t>
  </si>
  <si>
    <t>1. Leave the Type of Referee 1 empty
2. Tap "Next →"</t>
  </si>
  <si>
    <t>1. "Please select here" is shown at Type; no navigation</t>
  </si>
  <si>
    <t>PPAC_BCCON_REF_TC_043</t>
  </si>
  <si>
    <t>Reference Type dropdown has exactly 2 options (AMB-C2)</t>
  </si>
  <si>
    <t>1. The "Select your referee type" sheet shows "Personal referee" and "Employer referee"</t>
  </si>
  <si>
    <t>PPAC_BCCON_REF_TC_044</t>
  </si>
  <si>
    <t>Referee Contact Number invalid format → error (EF-06 / VAL-08)</t>
  </si>
  <si>
    <t>PPAC_BCCON_REF_TC_045</t>
  </si>
  <si>
    <t>Fill in only 1 referee, leave referee 2 empty → error (BR-08)</t>
  </si>
  <si>
    <t>1. Required-field errors are shown for the Referee 2 fields; no navigation</t>
  </si>
  <si>
    <t>PPAC_BCCON_REF_TC_046</t>
  </si>
  <si>
    <t>1. Leave First Name &amp; Surname of Referee 1 empty
2. Tap "Next →"</t>
  </si>
  <si>
    <t>1. "Please fill in this field" is shown at First Name &amp; Surname; no navigation</t>
  </si>
  <si>
    <t>PPAC_BCCON_REF_TC_047</t>
  </si>
  <si>
    <t>1. Open the Type of Referee 1, select "Personal referee"</t>
  </si>
  <si>
    <t>1. Type shows "Personal referee" selected</t>
  </si>
  <si>
    <t>PPAC_BCCON_REF_TC_048</t>
  </si>
  <si>
    <t>1. Open the Type of Referee 2, select "Employer referee"</t>
  </si>
  <si>
    <t>1. Type shows "Employer referee" selected</t>
  </si>
  <si>
    <t>PPAC_BCCON_REF_TC_049</t>
  </si>
  <si>
    <t>1. Leave the Relationship of Referee 1 empty
2. Tap "Next →"</t>
  </si>
  <si>
    <t>1. "Please fill in this field" is shown at Relationship</t>
  </si>
  <si>
    <t>PPAC_BCCON_REF_TC_050</t>
  </si>
  <si>
    <t>PPAC_BCCON_REF_TC_051</t>
  </si>
  <si>
    <t>1. Enter Referee 1 and Referee 2 with matching information
2. Tap "Next →"</t>
  </si>
  <si>
    <t>PPAC_BCCON_REF_TC_052</t>
  </si>
  <si>
    <t>1. Open the Type, select "Employer referee"
2. Observe the fields of the Referee block</t>
  </si>
  <si>
    <t>1. Additionally shows the fields "Contractor or Company Name" (placeholder "Company or Contractor you worked for") and "Project or site you worked on" (placeholder "e.g. ABC Construction Site")</t>
  </si>
  <si>
    <t>PPAC_BCCON_REF_TC_053</t>
  </si>
  <si>
    <t>References screen, the Referee is currently Employer (2 additional fields shown)</t>
  </si>
  <si>
    <t>1. The fields "Contractor or Company Name" and "Project or site you worked on" are hidden</t>
  </si>
  <si>
    <t>PPAC_BCCON_REF_TC_054</t>
  </si>
  <si>
    <t>Type = Employer referee, leave the 2 conditional fields empty → required-field error</t>
  </si>
  <si>
    <t>1. "Please fill in this field" is shown at both fields; no navigation</t>
  </si>
  <si>
    <t>PPAC_BCCON_DECL_TC_120</t>
  </si>
  <si>
    <t>Tick all required declarations + Submit → onboarding saved successfully (BR-18/VAL-13/AC-14)</t>
  </si>
  <si>
    <t>Already past References (CWG/CIS), on the Declaration screen (final)</t>
  </si>
  <si>
    <t>1. Tick all required declaration checkboxes
2. Tap "Next →" (Submit)</t>
  </si>
  <si>
    <t>1. Onboarding submitted successfully; the system saves the data (shows the completion confirmation screen)</t>
  </si>
  <si>
    <t>PPAC_BCCON_DECL_TC_121</t>
  </si>
  <si>
    <t>Missing ≥1 required declaration → cannot submit (CR-01/AC-11/VAL-13)</t>
  </si>
  <si>
    <t>1. Leave 1 required declaration checkbox empty
2. Observe the "Next →" button</t>
  </si>
  <si>
    <t>1. Cannot submit: the "Next →" button is in a disabled state while ≥1 required declaration is not ticked (CR-01)</t>
  </si>
  <si>
    <t>PPAC_BCCON_DECL_TC_122</t>
  </si>
  <si>
    <t>1. Observe the declaration list</t>
  </si>
  <si>
    <t>1. All 11 items verbatim and in the correct order: (1) "I declare that the contents of this application form are true." (2) "I authorise Ballycommon to contact my past employers for references." (3) "I am fit, well and able to undertake manual work on building, M &amp; E, civil &amp; railway engineering contracts." (4) "I authorise the deduction of equipment, services or training costs from my payments." (5) "I am not suffering from any occupational illness that could affect my ability to perform my duties." (6) "I have never been dismissed from any company for being under the influence of drugs or alcohol." (7) "I am willing to undertake a drugs and/or alcohol test at any time if requested by Ballycommon or the client." (8) "I will inform Ballycommon if I am taking any medication that may affect my ability to undertake my duties." (9) "I will inform Ballycommon of any hours worked for other employers and will comply with the relevant industry standards relating to working hours." (10) "I will inform Ballycommon of any changes to my medical condition or my fitness for work." (11) "I consent to Ballycommon sharing my personal data with their clients and other relevant third parties involved in the recruitment and compliance process. (Ballycommon will only share information that is necessary for assessing your suitability for roles, arranging placements or adhering to client compliance requests and will always handle your data in accordance with UK data-protection legislation)."</t>
  </si>
  <si>
    <t>PPAC_BCCON_DECL_TC_123</t>
  </si>
  <si>
    <t>All 11 items are required checkboxes (no info-only item)</t>
  </si>
  <si>
    <t>PPAC_BCCON_DECL_TC_124</t>
  </si>
  <si>
    <t>The declaration item "building, M &amp; E, civil &amp; railway engineering contracts" displays correctly</t>
  </si>
  <si>
    <t>1. Observe item number 3</t>
  </si>
  <si>
    <t>1. The item "I am fit, well and able to undertake manual work on building, M &amp; E, civil &amp; railway engineering contracts." displays correctly</t>
  </si>
  <si>
    <t>PPAC_BCCON_DECL_TC_125</t>
  </si>
  <si>
    <t>The final submit button displays "Next →" (AMB-C4)</t>
  </si>
  <si>
    <t>1. The button displays "Next →" (⚠️ verify: the req calls it "Submit"); tapping performs the onboarding submit</t>
  </si>
  <si>
    <t>PPAC_BCCON_DECL_TC_126</t>
  </si>
  <si>
    <t>Tick the data-sharing consent (item 11 — last)</t>
  </si>
  <si>
    <t>1. The consent checkbox takes the checked state</t>
  </si>
  <si>
    <t>PPAC_BCCON_DECL_TC_127</t>
  </si>
  <si>
    <t>Leave all declarations empty → submit blocked (CR-01)</t>
  </si>
  <si>
    <t>1. Cannot submit: the "Next →" button is disabled when no item is ticked (CR-01)</t>
  </si>
  <si>
    <t>PPAC_BCCON_DECL_TC_128</t>
  </si>
  <si>
    <t>Tick all 11 items → the "Next →" button changes to ENABLED (CR-01 State Transition)</t>
  </si>
  <si>
    <t>1. Tick all 11 required items one by one
2. Observe the "Next →" button
3. Untick 1 item → observe again</t>
  </si>
  <si>
    <t>all 11 checked, then untick 1</t>
  </si>
  <si>
    <t>1. After the 11th item is ticked → the "Next →" button is enabled
2. Unticking any 1 item → the button immediately returns to disabled</t>
  </si>
  <si>
    <t>PPAC_BCCON_DECL_TC_129</t>
  </si>
  <si>
    <t>UK spelling "authorise" at item 2 &amp; item 4 — does NOT use "authorize" (CR-02)</t>
  </si>
  <si>
    <t>1. Item 2 = "I authorise Ballycommon to contact my past employers for references." and item 4 = "I authorise the deduction of equipment, services or training costs from my payments."
2. The US spelling "authorize" does not appear at any item</t>
  </si>
  <si>
    <t>PPAC_BCCON_E2E_TC_130</t>
  </si>
  <si>
    <t>E2E happy path Construction + CWG — complete exactly 3 forms → onboarding saved successfully (AC-05/AC-14)</t>
  </si>
  <si>
    <t>New worker, prefix BALLYCOMMON-CONSTRUCTION</t>
  </si>
  <si>
    <t>1. Enter the BALLYCOMMON-CONSTRUCTION prefix → Continue
2. Complete Your Details (no Sentinel; Payroll=CWG)
3. Complete 2 References
4. Declaration: tick all 11 items + Submit</t>
  </si>
  <si>
    <t>Email = auto_bccon_e2e_130_20260623@yopmail.com; NIN = AB123456C
Payroll = CWG (Provider for CIS); DOB = 01/01/1990</t>
  </si>
  <si>
    <t>1. Go through exactly 3 forms (Your Details → References → Declaration), the rail forms (Medical/Contract/PPE/Safety/Lost) do NOT appear
2. Submitted successfully; the onboarding data is saved (AC-14)</t>
  </si>
  <si>
    <t>PPAC_BCCON_E2E_TC_131</t>
  </si>
  <si>
    <t>Worker has completed up to References then exited the app</t>
  </si>
  <si>
    <t>1. Reopen onboarding, enter the BALLYCOMMON-CONSTRUCTION prefix
2. "Continue onboarding?" dialog → tap "Continue"
3. Observe the returned screen</t>
  </si>
  <si>
    <t>onboarding pending at References</t>
  </si>
  <si>
    <t>1. Return to the correct pending screen (References), the previous data is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</si>
</sst>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Calibri"/>
      <family val="2"/>
    </font>
    <font>
      <b/>
      <sz val="11"/>
      <color theme="1"/>
      <name val="Calibri"/>
      <family val="2"/>
    </font>
    <font>
      <b/>
      <sz val="11"/>
      <color rgb="FFFFFFFF"/>
      <name val="Calibri"/>
      <family val="2"/>
    </font>
    <font>
      <b/>
      <sz val="16"/>
      <color rgb="FFFFFFFF"/>
      <name val="Aptos Narrow"/>
      <family val="2"/>
      <scheme val="minor"/>
    </font>
    <font>
      <b/>
      <sz val="11"/>
      <color rgb="FFFFFFFF"/>
      <name val="Aptos Narrow"/>
      <family val="2"/>
      <scheme val="minor"/>
    </font>
    <font>
      <i/>
      <sz val="11"/>
      <color rgb="FF666666"/>
      <name val="Aptos Narrow"/>
      <family val="2"/>
      <scheme val="minor"/>
    </font>
  </fonts>
  <fills count="11">
    <fill>
      <patternFill patternType="none"/>
    </fill>
    <fill>
      <patternFill patternType="gray125"/>
    </fill>
    <fill>
      <patternFill patternType="solid">
        <fgColor rgb="FF2F5496"/>
        <bgColor indexed="64"/>
      </patternFill>
    </fill>
    <fill>
      <patternFill patternType="solid">
        <fgColor rgb="FFDEEBF7"/>
        <bgColor indexed="64"/>
      </patternFill>
    </fill>
    <fill>
      <patternFill patternType="solid">
        <fgColor rgb="FFFFC7CE"/>
        <bgColor indexed="64"/>
      </patternFill>
    </fill>
    <fill>
      <patternFill patternType="solid">
        <fgColor rgb="FFFFD9B3"/>
        <bgColor indexed="64"/>
      </patternFill>
    </fill>
    <fill>
      <patternFill patternType="solid">
        <fgColor rgb="FFFFF2CC"/>
        <bgColor indexed="64"/>
      </patternFill>
    </fill>
    <fill>
      <patternFill patternType="solid">
        <fgColor rgb="FFE2EFDA"/>
        <bgColor indexed="64"/>
      </patternFill>
    </fill>
    <fill>
      <patternFill patternType="solid">
        <fgColor rgb="FF1F4E78"/>
        <bgColor indexed="64"/>
      </patternFill>
    </fill>
    <fill>
      <patternFill patternType="solid">
        <fgColor rgb="FF5B9BD5"/>
        <bgColor indexed="64"/>
      </patternFill>
    </fill>
    <fill>
      <patternFill patternType="solid">
        <fgColor rgb="FF70AD4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9EAF7"/>
      </left>
      <right style="thin">
        <color rgb="FFD9EAF7"/>
      </right>
      <top style="thin">
        <color rgb="FFD9EAF7"/>
      </top>
      <bottom style="thin">
        <color rgb="FFD9EAF7"/>
      </bottom>
      <diagonal/>
    </border>
    <border>
      <left style="thin">
        <color rgb="FFE2F0D9"/>
      </left>
      <right style="thin">
        <color rgb="FFE2F0D9"/>
      </right>
      <top style="thin">
        <color rgb="FFE2F0D9"/>
      </top>
      <bottom style="thin">
        <color rgb="FFE2F0D9"/>
      </bottom>
      <diagonal/>
    </border>
  </borders>
  <cellStyleXfs count="1">
    <xf numFmtId="0" fontId="0" fillId="0" borderId="0"/>
  </cellStyleXfs>
  <cellXfs count="19">
    <xf numFmtId="0" fontId="0" fillId="0" borderId="0" xfId="0"/>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xf numFmtId="0" fontId="6" fillId="0" borderId="0" xfId="0" quotePrefix="1" applyFont="1"/>
    <xf numFmtId="0" fontId="5" fillId="9" borderId="2" xfId="0" applyFont="1" applyFill="1" applyBorder="1" applyAlignment="1">
      <alignment horizontal="center"/>
    </xf>
    <xf numFmtId="0" fontId="0" fillId="0" borderId="2" xfId="0" applyBorder="1" applyAlignment="1">
      <alignment horizontal="left"/>
    </xf>
    <xf numFmtId="3" fontId="0" fillId="0" borderId="2" xfId="0" applyNumberFormat="1" applyBorder="1" applyAlignment="1">
      <alignment horizontal="right"/>
    </xf>
    <xf numFmtId="0" fontId="5" fillId="10" borderId="3" xfId="0" applyFont="1" applyFill="1" applyBorder="1" applyAlignment="1">
      <alignment horizontal="center"/>
    </xf>
    <xf numFmtId="0" fontId="0" fillId="0" borderId="3" xfId="0" applyBorder="1" applyAlignment="1">
      <alignment horizontal="left"/>
    </xf>
    <xf numFmtId="3" fontId="0" fillId="0" borderId="3" xfId="0" applyNumberFormat="1" applyBorder="1" applyAlignment="1">
      <alignment horizontal="right"/>
    </xf>
    <xf numFmtId="3" fontId="0" fillId="0" borderId="0" xfId="0" applyNumberFormat="1"/>
    <xf numFmtId="0" fontId="4" fillId="8" borderId="0" xfId="0" applyFont="1" applyFill="1" applyAlignment="1">
      <alignment horizontal="center"/>
    </xf>
    <xf numFmtId="0" fontId="2"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2C-4425-ACC8-93FFC8C2E831}"/>
              </c:ext>
            </c:extLst>
          </c:dPt>
          <c:cat>
            <c:multiLvlStrRef>
              <c:f>'Bally Onboarding'!$I$2:$I$172</c:f>
              <c:multiLvlStrCache>
                <c:ptCount val="1"/>
                <c:lvl>
                  <c:pt idx="0">
                    <c:v>Critical</c:v>
                  </c:pt>
                </c:lvl>
                <c:lvl>
                  <c:pt idx="0">
                    <c:v>High</c:v>
                  </c:pt>
                </c:lvl>
                <c:lvl>
                  <c:pt idx="0">
                    <c:v>High</c:v>
                  </c:pt>
                </c:lvl>
                <c:lvl>
                  <c:pt idx="0">
                    <c:v>Low</c:v>
                  </c:pt>
                </c:lvl>
                <c:lvl>
                  <c:pt idx="0">
                    <c:v>Medium</c:v>
                  </c:pt>
                </c:lvl>
                <c:lvl>
                  <c:pt idx="0">
                    <c:v>High</c:v>
                  </c:pt>
                </c:lvl>
                <c:lvl>
                  <c:pt idx="0">
                    <c:v>Medium</c:v>
                  </c:pt>
                </c:lvl>
                <c:lvl>
                  <c:pt idx="0">
                    <c:v>Low</c:v>
                  </c:pt>
                </c:lvl>
                <c:lvl>
                  <c:pt idx="0">
                    <c:v>Medium</c:v>
                  </c:pt>
                </c:lvl>
                <c:lvl>
                  <c:pt idx="0">
                    <c:v>Critical</c:v>
                  </c:pt>
                </c:lvl>
                <c:lvl>
                  <c:pt idx="0">
                    <c:v>Critical</c:v>
                  </c:pt>
                </c:lvl>
                <c:lvl>
                  <c:pt idx="0">
                    <c:v>High</c:v>
                  </c:pt>
                </c:lvl>
                <c:lvl>
                  <c:pt idx="0">
                    <c:v>Medium</c:v>
                  </c:pt>
                </c:lvl>
                <c:lvl>
                  <c:pt idx="0">
                    <c:v>High</c:v>
                  </c:pt>
                </c:lvl>
                <c:lvl>
                  <c:pt idx="0">
                    <c:v>Low</c:v>
                  </c:pt>
                </c:lvl>
                <c:lvl>
                  <c:pt idx="0">
                    <c:v>Medium</c:v>
                  </c:pt>
                </c:lvl>
                <c:lvl>
                  <c:pt idx="0">
                    <c:v>Low</c:v>
                  </c:pt>
                </c:lvl>
                <c:lvl>
                  <c:pt idx="0">
                    <c:v>Medium</c:v>
                  </c:pt>
                </c:lvl>
                <c:lvl>
                  <c:pt idx="0">
                    <c:v>Medium</c:v>
                  </c:pt>
                </c:lvl>
                <c:lvl>
                  <c:pt idx="0">
                    <c:v>Medium</c:v>
                  </c:pt>
                </c:lvl>
                <c:lvl>
                  <c:pt idx="0">
                    <c:v>High</c:v>
                  </c:pt>
                </c:lvl>
                <c:lvl>
                  <c:pt idx="0">
                    <c:v>High</c:v>
                  </c:pt>
                </c:lvl>
                <c:lvl>
                  <c:pt idx="0">
                    <c:v>High</c:v>
                  </c:pt>
                </c:lvl>
                <c:lvl>
                  <c:pt idx="0">
                    <c:v>High</c:v>
                  </c:pt>
                </c:lvl>
                <c:lvl>
                  <c:pt idx="0">
                    <c:v>Medium</c:v>
                  </c:pt>
                </c:lvl>
                <c:lvl>
                  <c:pt idx="0">
                    <c:v>Critical</c:v>
                  </c:pt>
                </c:lvl>
                <c:lvl>
                  <c:pt idx="0">
                    <c:v>High</c:v>
                  </c:pt>
                </c:lvl>
                <c:lvl>
                  <c:pt idx="0">
                    <c:v>Low</c:v>
                  </c:pt>
                </c:lvl>
                <c:lvl>
                  <c:pt idx="0">
                    <c:v>Medium</c:v>
                  </c:pt>
                </c:lvl>
                <c:lvl>
                  <c:pt idx="0">
                    <c:v>Medium</c:v>
                  </c:pt>
                </c:lvl>
                <c:lvl>
                  <c:pt idx="0">
                    <c:v>Low</c:v>
                  </c:pt>
                </c:lvl>
                <c:lvl>
                  <c:pt idx="0">
                    <c:v>High</c:v>
                  </c:pt>
                </c:lvl>
                <c:lvl>
                  <c:pt idx="0">
                    <c:v>Critical</c:v>
                  </c:pt>
                </c:lvl>
                <c:lvl>
                  <c:pt idx="0">
                    <c:v>Low</c:v>
                  </c:pt>
                </c:lvl>
                <c:lvl>
                  <c:pt idx="0">
                    <c:v>High</c:v>
                  </c:pt>
                </c:lvl>
                <c:lvl>
                  <c:pt idx="0">
                    <c:v>Medium</c:v>
                  </c:pt>
                </c:lvl>
                <c:lvl>
                  <c:pt idx="0">
                    <c:v>Medium</c:v>
                  </c:pt>
                </c:lvl>
                <c:lvl>
                  <c:pt idx="0">
                    <c:v>High</c:v>
                  </c:pt>
                </c:lvl>
                <c:lvl>
                  <c:pt idx="0">
                    <c:v>Low</c:v>
                  </c:pt>
                </c:lvl>
                <c:lvl>
                  <c:pt idx="0">
                    <c:v>High</c:v>
                  </c:pt>
                </c:lvl>
                <c:lvl>
                  <c:pt idx="0">
                    <c:v>Critical</c:v>
                  </c:pt>
                </c:lvl>
                <c:lvl>
                  <c:pt idx="0">
                    <c:v>Critical</c:v>
                  </c:pt>
                </c:lvl>
                <c:lvl>
                  <c:pt idx="0">
                    <c:v>Medium</c:v>
                  </c:pt>
                </c:lvl>
                <c:lvl>
                  <c:pt idx="0">
                    <c:v>High</c:v>
                  </c:pt>
                </c:lvl>
                <c:lvl>
                  <c:pt idx="0">
                    <c:v>High</c:v>
                  </c:pt>
                </c:lvl>
                <c:lvl>
                  <c:pt idx="0">
                    <c:v>Medium</c:v>
                  </c:pt>
                </c:lvl>
                <c:lvl>
                  <c:pt idx="0">
                    <c:v>Medium</c:v>
                  </c:pt>
                </c:lvl>
                <c:lvl>
                  <c:pt idx="0">
                    <c:v>High</c:v>
                  </c:pt>
                </c:lvl>
                <c:lvl>
                  <c:pt idx="0">
                    <c:v>Medium</c:v>
                  </c:pt>
                </c:lvl>
                <c:lvl>
                  <c:pt idx="0">
                    <c:v>High</c:v>
                  </c:pt>
                </c:lvl>
                <c:lvl>
                  <c:pt idx="0">
                    <c:v>High</c:v>
                  </c:pt>
                </c:lvl>
                <c:lvl>
                  <c:pt idx="0">
                    <c:v>Medium</c:v>
                  </c:pt>
                </c:lvl>
                <c:lvl>
                  <c:pt idx="0">
                    <c:v>Critical</c:v>
                  </c:pt>
                </c:lvl>
                <c:lvl>
                  <c:pt idx="0">
                    <c:v>Medium</c:v>
                  </c:pt>
                </c:lvl>
                <c:lvl>
                  <c:pt idx="0">
                    <c:v>High</c:v>
                  </c:pt>
                </c:lvl>
                <c:lvl>
                  <c:pt idx="0">
                    <c:v>Low</c:v>
                  </c:pt>
                </c:lvl>
                <c:lvl>
                  <c:pt idx="0">
                    <c:v>Medium</c:v>
                  </c:pt>
                </c:lvl>
                <c:lvl>
                  <c:pt idx="0">
                    <c:v>High</c:v>
                  </c:pt>
                </c:lvl>
                <c:lvl>
                  <c:pt idx="0">
                    <c:v>High</c:v>
                  </c:pt>
                </c:lvl>
                <c:lvl>
                  <c:pt idx="0">
                    <c:v>Medium</c:v>
                  </c:pt>
                </c:lvl>
                <c:lvl>
                  <c:pt idx="0">
                    <c:v>Critical</c:v>
                  </c:pt>
                </c:lvl>
                <c:lvl>
                  <c:pt idx="0">
                    <c:v>Medium</c:v>
                  </c:pt>
                </c:lvl>
                <c:lvl>
                  <c:pt idx="0">
                    <c:v>High</c:v>
                  </c:pt>
                </c:lvl>
                <c:lvl>
                  <c:pt idx="0">
                    <c:v>Medium</c:v>
                  </c:pt>
                </c:lvl>
                <c:lvl>
                  <c:pt idx="0">
                    <c:v>High</c:v>
                  </c:pt>
                </c:lvl>
                <c:lvl>
                  <c:pt idx="0">
                    <c:v>High</c:v>
                  </c:pt>
                </c:lvl>
                <c:lvl>
                  <c:pt idx="0">
                    <c:v>High</c:v>
                  </c:pt>
                </c:lvl>
                <c:lvl>
                  <c:pt idx="0">
                    <c:v>Critical</c:v>
                  </c:pt>
                </c:lvl>
                <c:lvl>
                  <c:pt idx="0">
                    <c:v>Critical</c:v>
                  </c:pt>
                </c:lvl>
                <c:lvl>
                  <c:pt idx="0">
                    <c:v>High</c:v>
                  </c:pt>
                </c:lvl>
                <c:lvl>
                  <c:pt idx="0">
                    <c:v>Critical</c:v>
                  </c:pt>
                </c:lvl>
                <c:lvl>
                  <c:pt idx="0">
                    <c:v>Low</c:v>
                  </c:pt>
                </c:lvl>
                <c:lvl>
                  <c:pt idx="0">
                    <c:v>Medium</c:v>
                  </c:pt>
                </c:lvl>
                <c:lvl>
                  <c:pt idx="0">
                    <c:v>High</c:v>
                  </c:pt>
                </c:lvl>
                <c:lvl>
                  <c:pt idx="0">
                    <c:v>Medium</c:v>
                  </c:pt>
                </c:lvl>
                <c:lvl>
                  <c:pt idx="0">
                    <c:v>Low</c:v>
                  </c:pt>
                </c:lvl>
                <c:lvl>
                  <c:pt idx="0">
                    <c:v>Medium</c:v>
                  </c:pt>
                </c:lvl>
                <c:lvl>
                  <c:pt idx="0">
                    <c:v>Critical</c:v>
                  </c:pt>
                </c:lvl>
                <c:lvl>
                  <c:pt idx="0">
                    <c:v>Critical</c:v>
                  </c:pt>
                </c:lvl>
                <c:lvl>
                  <c:pt idx="0">
                    <c:v>Low</c:v>
                  </c:pt>
                </c:lvl>
                <c:lvl>
                  <c:pt idx="0">
                    <c:v>Low</c:v>
                  </c:pt>
                </c:lvl>
                <c:lvl>
                  <c:pt idx="0">
                    <c:v>High</c:v>
                  </c:pt>
                </c:lvl>
                <c:lvl>
                  <c:pt idx="0">
                    <c:v>High</c:v>
                  </c:pt>
                </c:lvl>
                <c:lvl>
                  <c:pt idx="0">
                    <c:v>Low</c:v>
                  </c:pt>
                </c:lvl>
                <c:lvl>
                  <c:pt idx="0">
                    <c:v>Low</c:v>
                  </c:pt>
                </c:lvl>
                <c:lvl>
                  <c:pt idx="0">
                    <c:v>Medium</c:v>
                  </c:pt>
                </c:lvl>
                <c:lvl>
                  <c:pt idx="0">
                    <c:v>Medium</c:v>
                  </c:pt>
                </c:lvl>
                <c:lvl>
                  <c:pt idx="0">
                    <c:v>Medium</c:v>
                  </c:pt>
                </c:lvl>
                <c:lvl>
                  <c:pt idx="0">
                    <c:v>High</c:v>
                  </c:pt>
                </c:lvl>
                <c:lvl>
                  <c:pt idx="0">
                    <c:v>High</c:v>
                  </c:pt>
                </c:lvl>
                <c:lvl>
                  <c:pt idx="0">
                    <c:v>Critical</c:v>
                  </c:pt>
                </c:lvl>
                <c:lvl>
                  <c:pt idx="0">
                    <c:v>High</c:v>
                  </c:pt>
                </c:lvl>
                <c:lvl>
                  <c:pt idx="0">
                    <c:v>High</c:v>
                  </c:pt>
                </c:lvl>
                <c:lvl>
                  <c:pt idx="0">
                    <c:v>Low</c:v>
                  </c:pt>
                </c:lvl>
                <c:lvl>
                  <c:pt idx="0">
                    <c:v>Low</c:v>
                  </c:pt>
                </c:lvl>
                <c:lvl>
                  <c:pt idx="0">
                    <c:v>Medium</c:v>
                  </c:pt>
                </c:lvl>
                <c:lvl>
                  <c:pt idx="0">
                    <c:v>Low</c:v>
                  </c:pt>
                </c:lvl>
                <c:lvl>
                  <c:pt idx="0">
                    <c:v>Medium</c:v>
                  </c:pt>
                </c:lvl>
                <c:lvl>
                  <c:pt idx="0">
                    <c:v>High</c:v>
                  </c:pt>
                </c:lvl>
                <c:lvl>
                  <c:pt idx="0">
                    <c:v>Medium</c:v>
                  </c:pt>
                </c:lvl>
                <c:lvl>
                  <c:pt idx="0">
                    <c:v>High</c:v>
                  </c:pt>
                </c:lvl>
                <c:lvl>
                  <c:pt idx="0">
                    <c:v>Low</c:v>
                  </c:pt>
                </c:lvl>
                <c:lvl>
                  <c:pt idx="0">
                    <c:v>Low</c:v>
                  </c:pt>
                </c:lvl>
                <c:lvl>
                  <c:pt idx="0">
                    <c:v>Medium</c:v>
                  </c:pt>
                </c:lvl>
                <c:lvl>
                  <c:pt idx="0">
                    <c:v>High</c:v>
                  </c:pt>
                </c:lvl>
                <c:lvl>
                  <c:pt idx="0">
                    <c:v>Critical</c:v>
                  </c:pt>
                </c:lvl>
                <c:lvl>
                  <c:pt idx="0">
                    <c:v>Low</c:v>
                  </c:pt>
                </c:lvl>
                <c:lvl>
                  <c:pt idx="0">
                    <c:v>Medium</c:v>
                  </c:pt>
                </c:lvl>
                <c:lvl>
                  <c:pt idx="0">
                    <c:v>Low</c:v>
                  </c:pt>
                </c:lvl>
                <c:lvl>
                  <c:pt idx="0">
                    <c:v>Low</c:v>
                  </c:pt>
                </c:lvl>
                <c:lvl>
                  <c:pt idx="0">
                    <c:v>Medium</c:v>
                  </c:pt>
                </c:lvl>
                <c:lvl>
                  <c:pt idx="0">
                    <c:v>Medium</c:v>
                  </c:pt>
                </c:lvl>
                <c:lvl>
                  <c:pt idx="0">
                    <c:v>Medium</c:v>
                  </c:pt>
                </c:lvl>
                <c:lvl>
                  <c:pt idx="0">
                    <c:v>Medium</c:v>
                  </c:pt>
                </c:lvl>
                <c:lvl>
                  <c:pt idx="0">
                    <c:v>High</c:v>
                  </c:pt>
                </c:lvl>
                <c:lvl>
                  <c:pt idx="0">
                    <c:v>High</c:v>
                  </c:pt>
                </c:lvl>
                <c:lvl>
                  <c:pt idx="0">
                    <c:v>High</c:v>
                  </c:pt>
                </c:lvl>
                <c:lvl>
                  <c:pt idx="0">
                    <c:v>Critical</c:v>
                  </c:pt>
                </c:lvl>
                <c:lvl>
                  <c:pt idx="0">
                    <c:v>Critical</c:v>
                  </c:pt>
                </c:lvl>
                <c:lvl>
                  <c:pt idx="0">
                    <c:v>High</c:v>
                  </c:pt>
                </c:lvl>
                <c:lvl>
                  <c:pt idx="0">
                    <c:v>Medium</c:v>
                  </c:pt>
                </c:lvl>
                <c:lvl>
                  <c:pt idx="0">
                    <c:v>High</c:v>
                  </c:pt>
                </c:lvl>
                <c:lvl>
                  <c:pt idx="0">
                    <c:v>Low</c:v>
                  </c:pt>
                </c:lvl>
                <c:lvl>
                  <c:pt idx="0">
                    <c:v>Medium</c:v>
                  </c:pt>
                </c:lvl>
                <c:lvl>
                  <c:pt idx="0">
                    <c:v>Low</c:v>
                  </c:pt>
                </c:lvl>
                <c:lvl>
                  <c:pt idx="0">
                    <c:v>Medium</c:v>
                  </c:pt>
                </c:lvl>
                <c:lvl>
                  <c:pt idx="0">
                    <c:v>Medium</c:v>
                  </c:pt>
                </c:lvl>
                <c:lvl>
                  <c:pt idx="0">
                    <c:v>Medium</c:v>
                  </c:pt>
                </c:lvl>
                <c:lvl>
                  <c:pt idx="0">
                    <c:v>High</c:v>
                  </c:pt>
                </c:lvl>
                <c:lvl>
                  <c:pt idx="0">
                    <c:v>High</c:v>
                  </c:pt>
                </c:lvl>
                <c:lvl>
                  <c:pt idx="0">
                    <c:v>High</c:v>
                  </c:pt>
                </c:lvl>
                <c:lvl>
                  <c:pt idx="0">
                    <c:v>High</c:v>
                  </c:pt>
                </c:lvl>
                <c:lvl>
                  <c:pt idx="0">
                    <c:v>Medium</c:v>
                  </c:pt>
                </c:lvl>
                <c:lvl>
                  <c:pt idx="0">
                    <c:v>Critical</c:v>
                  </c:pt>
                </c:lvl>
                <c:lvl>
                  <c:pt idx="0">
                    <c:v>High</c:v>
                  </c:pt>
                </c:lvl>
                <c:lvl>
                  <c:pt idx="0">
                    <c:v>Low</c:v>
                  </c:pt>
                </c:lvl>
                <c:lvl>
                  <c:pt idx="0">
                    <c:v>Medium</c:v>
                  </c:pt>
                </c:lvl>
                <c:lvl>
                  <c:pt idx="0">
                    <c:v>Medium</c:v>
                  </c:pt>
                </c:lvl>
                <c:lvl>
                  <c:pt idx="0">
                    <c:v>Low</c:v>
                  </c:pt>
                </c:lvl>
                <c:lvl>
                  <c:pt idx="0">
                    <c:v>High</c:v>
                  </c:pt>
                </c:lvl>
                <c:lvl>
                  <c:pt idx="0">
                    <c:v>Critical</c:v>
                  </c:pt>
                </c:lvl>
                <c:lvl>
                  <c:pt idx="0">
                    <c:v>Low</c:v>
                  </c:pt>
                </c:lvl>
                <c:lvl>
                  <c:pt idx="0">
                    <c:v>High</c:v>
                  </c:pt>
                </c:lvl>
                <c:lvl>
                  <c:pt idx="0">
                    <c:v>Medium</c:v>
                  </c:pt>
                </c:lvl>
                <c:lvl>
                  <c:pt idx="0">
                    <c:v>Medium</c:v>
                  </c:pt>
                </c:lvl>
                <c:lvl>
                  <c:pt idx="0">
                    <c:v>High</c:v>
                  </c:pt>
                </c:lvl>
                <c:lvl>
                  <c:pt idx="0">
                    <c:v>Low</c:v>
                  </c:pt>
                </c:lvl>
                <c:lvl>
                  <c:pt idx="0">
                    <c:v>High</c:v>
                  </c:pt>
                </c:lvl>
                <c:lvl>
                  <c:pt idx="0">
                    <c:v>Critical</c:v>
                  </c:pt>
                </c:lvl>
                <c:lvl>
                  <c:pt idx="0">
                    <c:v>Medium</c:v>
                  </c:pt>
                </c:lvl>
                <c:lvl>
                  <c:pt idx="0">
                    <c:v>High</c:v>
                  </c:pt>
                </c:lvl>
                <c:lvl>
                  <c:pt idx="0">
                    <c:v>Critical</c:v>
                  </c:pt>
                </c:lvl>
                <c:lvl>
                  <c:pt idx="0">
                    <c:v>Medium</c:v>
                  </c:pt>
                </c:lvl>
                <c:lvl>
                  <c:pt idx="0">
                    <c:v>High</c:v>
                  </c:pt>
                </c:lvl>
                <c:lvl>
                  <c:pt idx="0">
                    <c:v>High</c:v>
                  </c:pt>
                </c:lvl>
                <c:lvl>
                  <c:pt idx="0">
                    <c:v>Medium</c:v>
                  </c:pt>
                </c:lvl>
                <c:lvl>
                  <c:pt idx="0">
                    <c:v>Medium</c:v>
                  </c:pt>
                </c:lvl>
                <c:lvl>
                  <c:pt idx="0">
                    <c:v>High</c:v>
                  </c:pt>
                </c:lvl>
                <c:lvl>
                  <c:pt idx="0">
                    <c:v>Medium</c:v>
                  </c:pt>
                </c:lvl>
                <c:lvl>
                  <c:pt idx="0">
                    <c:v>High</c:v>
                  </c:pt>
                </c:lvl>
                <c:lvl>
                  <c:pt idx="0">
                    <c:v>High</c:v>
                  </c:pt>
                </c:lvl>
                <c:lvl>
                  <c:pt idx="0">
                    <c:v>Medium</c:v>
                  </c:pt>
                </c:lvl>
                <c:lvl>
                  <c:pt idx="0">
                    <c:v>Critical</c:v>
                  </c:pt>
                </c:lvl>
                <c:lvl>
                  <c:pt idx="0">
                    <c:v>Medium</c:v>
                  </c:pt>
                </c:lvl>
                <c:lvl>
                  <c:pt idx="0">
                    <c:v>High</c:v>
                  </c:pt>
                </c:lvl>
                <c:lvl>
                  <c:pt idx="0">
                    <c:v>Low</c:v>
                  </c:pt>
                </c:lvl>
                <c:lvl>
                  <c:pt idx="0">
                    <c:v>Medium</c:v>
                  </c:pt>
                </c:lvl>
                <c:lvl>
                  <c:pt idx="0">
                    <c:v>High</c:v>
                  </c:pt>
                </c:lvl>
                <c:lvl>
                  <c:pt idx="0">
                    <c:v>High</c:v>
                  </c:pt>
                </c:lvl>
                <c:lvl>
                  <c:pt idx="0">
                    <c:v>High</c:v>
                  </c:pt>
                </c:lvl>
                <c:lvl>
                  <c:pt idx="0">
                    <c:v>Critical</c:v>
                  </c:pt>
                </c:lvl>
              </c:multiLvlStrCache>
            </c:multiLvlStrRef>
          </c:cat>
          <c:val>
            <c:numRef>
              <c:f>'Bally Onboarding'!$I$173</c:f>
              <c:numCache>
                <c:formatCode>General</c:formatCode>
                <c:ptCount val="1"/>
                <c:pt idx="0">
                  <c:v>0</c:v>
                </c:pt>
              </c:numCache>
            </c:numRef>
          </c:val>
          <c:extLst>
            <c:ext xmlns:c16="http://schemas.microsoft.com/office/drawing/2014/chart" uri="{C3380CC4-5D6E-409C-BE32-E72D297353CC}">
              <c16:uniqueId val="{00000003-C073-44FD-9563-99FE02886C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190500</xdr:colOff>
      <xdr:row>4</xdr:row>
      <xdr:rowOff>209550</xdr:rowOff>
    </xdr:from>
    <xdr:to>
      <xdr:col>19</xdr:col>
      <xdr:colOff>457200</xdr:colOff>
      <xdr:row>4</xdr:row>
      <xdr:rowOff>628650</xdr:rowOff>
    </xdr:to>
    <xdr:graphicFrame macro="">
      <xdr:nvGraphicFramePr>
        <xdr:cNvPr id="6" name="Biểu đồ 1">
          <a:extLst>
            <a:ext uri="{FF2B5EF4-FFF2-40B4-BE49-F238E27FC236}">
              <a16:creationId xmlns:a16="http://schemas.microsoft.com/office/drawing/2014/main" id="{96F0ADB8-362E-ABD6-2539-7969022DE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B042-2C90-4A23-A5C4-9BC9E9E3D0C2}">
  <dimension ref="A1:E9"/>
  <sheetViews>
    <sheetView workbookViewId="0">
      <selection activeCell="B4" sqref="B4"/>
    </sheetView>
  </sheetViews>
  <sheetFormatPr defaultRowHeight="15"/>
  <cols>
    <col min="1" max="1" width="8.140625" bestFit="1" customWidth="1"/>
    <col min="2" max="2" width="18.7109375" bestFit="1" customWidth="1"/>
    <col min="4" max="4" width="7.42578125" bestFit="1" customWidth="1"/>
    <col min="5" max="5" width="18.85546875" bestFit="1" customWidth="1"/>
  </cols>
  <sheetData>
    <row r="1" spans="1:5" ht="21">
      <c r="A1" s="12" t="s">
        <v>0</v>
      </c>
      <c r="B1" s="12"/>
      <c r="D1" s="12" t="s">
        <v>1</v>
      </c>
      <c r="E1" s="12"/>
    </row>
    <row r="3" spans="1:5">
      <c r="A3" s="5" t="s">
        <v>2</v>
      </c>
      <c r="B3" s="5" t="s">
        <v>3</v>
      </c>
      <c r="D3" s="8" t="s">
        <v>4</v>
      </c>
      <c r="E3" s="8" t="s">
        <v>3</v>
      </c>
    </row>
    <row r="4" spans="1:5">
      <c r="A4" s="6" t="s">
        <v>5</v>
      </c>
      <c r="B4" s="7">
        <f>COUNTIF('Bally Onboarding'!I:I,A4)</f>
        <v>62</v>
      </c>
      <c r="D4" s="9" t="s">
        <v>6</v>
      </c>
      <c r="E4" s="10">
        <f>COUNTIF('Bally Onboarding'!J:J,D4)</f>
        <v>172</v>
      </c>
    </row>
    <row r="5" spans="1:5">
      <c r="A5" s="6" t="s">
        <v>7</v>
      </c>
      <c r="B5" s="7">
        <f>COUNTIF('Bally Onboarding'!I:I,A5)</f>
        <v>30</v>
      </c>
      <c r="D5" s="9" t="s">
        <v>8</v>
      </c>
      <c r="E5" s="10">
        <f>COUNTIF('Bally Onboarding'!J:J,D5)</f>
        <v>0</v>
      </c>
    </row>
    <row r="6" spans="1:5">
      <c r="A6" s="6" t="s">
        <v>9</v>
      </c>
      <c r="B6" s="7">
        <f>COUNTIF('Bally Onboarding'!I:I,A6)</f>
        <v>56</v>
      </c>
      <c r="D6" t="s">
        <v>10</v>
      </c>
      <c r="E6" s="11">
        <f>E4+E5</f>
        <v>172</v>
      </c>
    </row>
    <row r="7" spans="1:5">
      <c r="A7" s="6" t="s">
        <v>11</v>
      </c>
      <c r="B7" s="7">
        <f>COUNTIF('Bally Onboarding'!I:I,A7)</f>
        <v>24</v>
      </c>
      <c r="D7" s="3"/>
      <c r="E7" s="4"/>
    </row>
    <row r="8" spans="1:5">
      <c r="A8" t="s">
        <v>10</v>
      </c>
      <c r="B8" s="11">
        <f xml:space="preserve"> B4+B5+B6+B7</f>
        <v>172</v>
      </c>
    </row>
    <row r="9" spans="1:5">
      <c r="A9" s="3"/>
      <c r="B9" s="4"/>
    </row>
  </sheetData>
  <mergeCells count="2">
    <mergeCell ref="A1:B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7878-85A7-462C-8B53-EFDBB62638C7}">
  <dimension ref="A1:J173"/>
  <sheetViews>
    <sheetView tabSelected="1" workbookViewId="0">
      <pane ySplit="1" topLeftCell="A2" activePane="bottomLeft" state="frozenSplit"/>
      <selection pane="bottomLeft" activeCell="L4" sqref="L4"/>
    </sheetView>
  </sheetViews>
  <sheetFormatPr defaultRowHeight="15"/>
  <cols>
    <col min="1" max="1" width="13.7109375" customWidth="1"/>
    <col min="2" max="2" width="22.7109375" customWidth="1"/>
    <col min="3" max="3" width="12.7109375" customWidth="1"/>
    <col min="4" max="4" width="40.7109375" customWidth="1"/>
    <col min="5" max="5" width="30.7109375" customWidth="1"/>
    <col min="6" max="6" width="50.7109375" customWidth="1"/>
    <col min="7" max="7" width="28.7109375" customWidth="1"/>
    <col min="8" max="8" width="50.7109375" customWidth="1"/>
    <col min="9" max="9" width="12.7109375" customWidth="1"/>
  </cols>
  <sheetData>
    <row r="1" spans="1:10" ht="30" customHeight="1">
      <c r="A1" s="1" t="s">
        <v>12</v>
      </c>
      <c r="B1" s="1" t="s">
        <v>13</v>
      </c>
      <c r="C1" s="1" t="s">
        <v>14</v>
      </c>
      <c r="D1" s="1" t="s">
        <v>15</v>
      </c>
      <c r="E1" s="1" t="s">
        <v>16</v>
      </c>
      <c r="F1" s="1" t="s">
        <v>17</v>
      </c>
      <c r="G1" s="1" t="s">
        <v>18</v>
      </c>
      <c r="H1" s="1" t="s">
        <v>19</v>
      </c>
      <c r="I1" s="1" t="s">
        <v>2</v>
      </c>
      <c r="J1" s="1" t="s">
        <v>4</v>
      </c>
    </row>
    <row r="2" spans="1:10" ht="91.5">
      <c r="A2" s="13" t="s">
        <v>20</v>
      </c>
      <c r="B2" s="14" t="s">
        <v>21</v>
      </c>
      <c r="C2" s="14" t="s">
        <v>22</v>
      </c>
      <c r="D2" s="14" t="s">
        <v>23</v>
      </c>
      <c r="E2" s="14" t="s">
        <v>24</v>
      </c>
      <c r="F2" s="14" t="s">
        <v>25</v>
      </c>
      <c r="G2" s="14" t="s">
        <v>26</v>
      </c>
      <c r="H2" s="14" t="s">
        <v>27</v>
      </c>
      <c r="I2" s="15" t="s">
        <v>11</v>
      </c>
      <c r="J2" s="2" t="s">
        <v>6</v>
      </c>
    </row>
    <row r="3" spans="1:10" ht="45.75">
      <c r="A3" s="13" t="s">
        <v>20</v>
      </c>
      <c r="B3" s="14" t="s">
        <v>28</v>
      </c>
      <c r="C3" s="14" t="s">
        <v>22</v>
      </c>
      <c r="D3" s="14" t="s">
        <v>29</v>
      </c>
      <c r="E3" s="14" t="s">
        <v>30</v>
      </c>
      <c r="F3" s="14" t="s">
        <v>31</v>
      </c>
      <c r="G3" s="14" t="s">
        <v>32</v>
      </c>
      <c r="H3" s="14" t="s">
        <v>33</v>
      </c>
      <c r="I3" s="16" t="s">
        <v>5</v>
      </c>
      <c r="J3" s="2" t="s">
        <v>6</v>
      </c>
    </row>
    <row r="4" spans="1:10" ht="121.5">
      <c r="A4" s="13" t="s">
        <v>20</v>
      </c>
      <c r="B4" s="14" t="s">
        <v>34</v>
      </c>
      <c r="C4" s="14" t="s">
        <v>22</v>
      </c>
      <c r="D4" s="14" t="s">
        <v>35</v>
      </c>
      <c r="E4" s="14" t="s">
        <v>36</v>
      </c>
      <c r="F4" s="14" t="s">
        <v>37</v>
      </c>
      <c r="G4" s="14" t="s">
        <v>38</v>
      </c>
      <c r="H4" s="14" t="s">
        <v>39</v>
      </c>
      <c r="I4" s="16" t="s">
        <v>5</v>
      </c>
      <c r="J4" s="2" t="s">
        <v>6</v>
      </c>
    </row>
    <row r="5" spans="1:10" ht="76.5">
      <c r="A5" s="13" t="s">
        <v>20</v>
      </c>
      <c r="B5" s="14" t="s">
        <v>40</v>
      </c>
      <c r="C5" s="14" t="s">
        <v>22</v>
      </c>
      <c r="D5" s="14" t="s">
        <v>41</v>
      </c>
      <c r="E5" s="14" t="s">
        <v>42</v>
      </c>
      <c r="F5" s="14" t="s">
        <v>43</v>
      </c>
      <c r="G5" s="14" t="s">
        <v>44</v>
      </c>
      <c r="H5" s="14" t="s">
        <v>45</v>
      </c>
      <c r="I5" s="16" t="s">
        <v>5</v>
      </c>
      <c r="J5" s="2" t="s">
        <v>6</v>
      </c>
    </row>
    <row r="6" spans="1:10" ht="30.75">
      <c r="A6" s="13" t="s">
        <v>20</v>
      </c>
      <c r="B6" s="14" t="s">
        <v>46</v>
      </c>
      <c r="C6" s="14" t="s">
        <v>22</v>
      </c>
      <c r="D6" s="14" t="s">
        <v>47</v>
      </c>
      <c r="E6" s="14" t="s">
        <v>48</v>
      </c>
      <c r="F6" s="14" t="s">
        <v>49</v>
      </c>
      <c r="G6" s="14" t="s">
        <v>50</v>
      </c>
      <c r="H6" s="14" t="s">
        <v>51</v>
      </c>
      <c r="I6" s="17" t="s">
        <v>9</v>
      </c>
      <c r="J6" s="2" t="s">
        <v>6</v>
      </c>
    </row>
    <row r="7" spans="1:10" ht="45.75">
      <c r="A7" s="13" t="s">
        <v>20</v>
      </c>
      <c r="B7" s="14" t="s">
        <v>52</v>
      </c>
      <c r="C7" s="14" t="s">
        <v>22</v>
      </c>
      <c r="D7" s="14" t="s">
        <v>53</v>
      </c>
      <c r="E7" s="14" t="s">
        <v>54</v>
      </c>
      <c r="F7" s="14" t="s">
        <v>55</v>
      </c>
      <c r="G7" s="14" t="s">
        <v>56</v>
      </c>
      <c r="H7" s="14" t="s">
        <v>57</v>
      </c>
      <c r="I7" s="18" t="s">
        <v>7</v>
      </c>
      <c r="J7" s="2" t="s">
        <v>6</v>
      </c>
    </row>
    <row r="8" spans="1:10" ht="60.75">
      <c r="A8" s="13" t="s">
        <v>20</v>
      </c>
      <c r="B8" s="14" t="s">
        <v>58</v>
      </c>
      <c r="C8" s="14" t="s">
        <v>22</v>
      </c>
      <c r="D8" s="14" t="s">
        <v>59</v>
      </c>
      <c r="E8" s="14" t="s">
        <v>54</v>
      </c>
      <c r="F8" s="14" t="s">
        <v>60</v>
      </c>
      <c r="G8" s="14" t="s">
        <v>61</v>
      </c>
      <c r="H8" s="14" t="s">
        <v>62</v>
      </c>
      <c r="I8" s="16" t="s">
        <v>5</v>
      </c>
      <c r="J8" s="2" t="s">
        <v>6</v>
      </c>
    </row>
    <row r="9" spans="1:10" ht="60.75">
      <c r="A9" s="13" t="s">
        <v>20</v>
      </c>
      <c r="B9" s="14" t="s">
        <v>63</v>
      </c>
      <c r="C9" s="14" t="s">
        <v>22</v>
      </c>
      <c r="D9" s="14" t="s">
        <v>64</v>
      </c>
      <c r="E9" s="14" t="s">
        <v>65</v>
      </c>
      <c r="F9" s="14" t="s">
        <v>66</v>
      </c>
      <c r="G9" s="14" t="s">
        <v>67</v>
      </c>
      <c r="H9" s="14" t="s">
        <v>68</v>
      </c>
      <c r="I9" s="17" t="s">
        <v>9</v>
      </c>
      <c r="J9" s="2" t="s">
        <v>6</v>
      </c>
    </row>
    <row r="10" spans="1:10" ht="137.25">
      <c r="A10" s="13" t="s">
        <v>20</v>
      </c>
      <c r="B10" s="14" t="s">
        <v>69</v>
      </c>
      <c r="C10" s="14" t="s">
        <v>70</v>
      </c>
      <c r="D10" s="14" t="s">
        <v>71</v>
      </c>
      <c r="E10" s="14" t="s">
        <v>72</v>
      </c>
      <c r="F10" s="14" t="s">
        <v>73</v>
      </c>
      <c r="G10" s="14" t="s">
        <v>74</v>
      </c>
      <c r="H10" s="14" t="s">
        <v>75</v>
      </c>
      <c r="I10" s="15" t="s">
        <v>11</v>
      </c>
      <c r="J10" s="2" t="s">
        <v>6</v>
      </c>
    </row>
    <row r="11" spans="1:10" ht="60.75">
      <c r="A11" s="13" t="s">
        <v>20</v>
      </c>
      <c r="B11" s="14" t="s">
        <v>76</v>
      </c>
      <c r="C11" s="14" t="s">
        <v>70</v>
      </c>
      <c r="D11" s="14" t="s">
        <v>77</v>
      </c>
      <c r="E11" s="14" t="s">
        <v>78</v>
      </c>
      <c r="F11" s="14" t="s">
        <v>79</v>
      </c>
      <c r="G11" s="14" t="s">
        <v>32</v>
      </c>
      <c r="H11" s="14" t="s">
        <v>80</v>
      </c>
      <c r="I11" s="17" t="s">
        <v>9</v>
      </c>
      <c r="J11" s="2" t="s">
        <v>6</v>
      </c>
    </row>
    <row r="12" spans="1:10" ht="30.75">
      <c r="A12" s="13" t="s">
        <v>20</v>
      </c>
      <c r="B12" s="14" t="s">
        <v>81</v>
      </c>
      <c r="C12" s="14" t="s">
        <v>70</v>
      </c>
      <c r="D12" s="14" t="s">
        <v>82</v>
      </c>
      <c r="E12" s="14" t="s">
        <v>83</v>
      </c>
      <c r="F12" s="14" t="s">
        <v>84</v>
      </c>
      <c r="G12" s="14" t="s">
        <v>85</v>
      </c>
      <c r="H12" s="14" t="s">
        <v>86</v>
      </c>
      <c r="I12" s="16" t="s">
        <v>5</v>
      </c>
      <c r="J12" s="2" t="s">
        <v>6</v>
      </c>
    </row>
    <row r="13" spans="1:10" ht="30.75">
      <c r="A13" s="13" t="s">
        <v>20</v>
      </c>
      <c r="B13" s="14" t="s">
        <v>87</v>
      </c>
      <c r="C13" s="14" t="s">
        <v>70</v>
      </c>
      <c r="D13" s="14" t="s">
        <v>88</v>
      </c>
      <c r="E13" s="14" t="s">
        <v>78</v>
      </c>
      <c r="F13" s="14" t="s">
        <v>89</v>
      </c>
      <c r="G13" s="14" t="s">
        <v>90</v>
      </c>
      <c r="H13" s="14" t="s">
        <v>91</v>
      </c>
      <c r="I13" s="16" t="s">
        <v>5</v>
      </c>
      <c r="J13" s="2" t="s">
        <v>6</v>
      </c>
    </row>
    <row r="14" spans="1:10" ht="30.75">
      <c r="A14" s="13" t="s">
        <v>20</v>
      </c>
      <c r="B14" s="14" t="s">
        <v>92</v>
      </c>
      <c r="C14" s="14" t="s">
        <v>70</v>
      </c>
      <c r="D14" s="14" t="s">
        <v>93</v>
      </c>
      <c r="E14" s="14" t="s">
        <v>94</v>
      </c>
      <c r="F14" s="14" t="s">
        <v>95</v>
      </c>
      <c r="G14" s="14" t="s">
        <v>96</v>
      </c>
      <c r="H14" s="14" t="s">
        <v>97</v>
      </c>
      <c r="I14" s="17" t="s">
        <v>9</v>
      </c>
      <c r="J14" s="2" t="s">
        <v>6</v>
      </c>
    </row>
    <row r="15" spans="1:10" ht="30.75">
      <c r="A15" s="13" t="s">
        <v>20</v>
      </c>
      <c r="B15" s="14" t="s">
        <v>98</v>
      </c>
      <c r="C15" s="14" t="s">
        <v>70</v>
      </c>
      <c r="D15" s="14" t="s">
        <v>99</v>
      </c>
      <c r="E15" s="14" t="s">
        <v>78</v>
      </c>
      <c r="F15" s="14" t="s">
        <v>100</v>
      </c>
      <c r="G15" s="14" t="s">
        <v>101</v>
      </c>
      <c r="H15" s="14" t="s">
        <v>102</v>
      </c>
      <c r="I15" s="16" t="s">
        <v>5</v>
      </c>
      <c r="J15" s="2" t="s">
        <v>6</v>
      </c>
    </row>
    <row r="16" spans="1:10" ht="30.75">
      <c r="A16" s="13" t="s">
        <v>20</v>
      </c>
      <c r="B16" s="14" t="s">
        <v>103</v>
      </c>
      <c r="C16" s="14" t="s">
        <v>70</v>
      </c>
      <c r="D16" s="14" t="s">
        <v>104</v>
      </c>
      <c r="E16" s="14" t="s">
        <v>78</v>
      </c>
      <c r="F16" s="14" t="s">
        <v>105</v>
      </c>
      <c r="G16" s="14" t="s">
        <v>106</v>
      </c>
      <c r="H16" s="14" t="s">
        <v>107</v>
      </c>
      <c r="I16" s="17" t="s">
        <v>9</v>
      </c>
      <c r="J16" s="2" t="s">
        <v>6</v>
      </c>
    </row>
    <row r="17" spans="1:10" ht="45.75">
      <c r="A17" s="13" t="s">
        <v>20</v>
      </c>
      <c r="B17" s="14" t="s">
        <v>108</v>
      </c>
      <c r="C17" s="14" t="s">
        <v>70</v>
      </c>
      <c r="D17" s="14" t="s">
        <v>109</v>
      </c>
      <c r="E17" s="14" t="s">
        <v>78</v>
      </c>
      <c r="F17" s="14" t="s">
        <v>110</v>
      </c>
      <c r="G17" s="14" t="s">
        <v>111</v>
      </c>
      <c r="H17" s="14" t="s">
        <v>112</v>
      </c>
      <c r="I17" s="17" t="s">
        <v>9</v>
      </c>
      <c r="J17" s="2" t="s">
        <v>6</v>
      </c>
    </row>
    <row r="18" spans="1:10" ht="30.75">
      <c r="A18" s="13" t="s">
        <v>20</v>
      </c>
      <c r="B18" s="14" t="s">
        <v>113</v>
      </c>
      <c r="C18" s="14" t="s">
        <v>70</v>
      </c>
      <c r="D18" s="14" t="s">
        <v>114</v>
      </c>
      <c r="E18" s="14" t="s">
        <v>78</v>
      </c>
      <c r="F18" s="14" t="s">
        <v>115</v>
      </c>
      <c r="G18" s="14" t="s">
        <v>116</v>
      </c>
      <c r="H18" s="14" t="s">
        <v>117</v>
      </c>
      <c r="I18" s="16" t="s">
        <v>5</v>
      </c>
      <c r="J18" s="2" t="s">
        <v>6</v>
      </c>
    </row>
    <row r="19" spans="1:10" ht="30.75">
      <c r="A19" s="13" t="s">
        <v>20</v>
      </c>
      <c r="B19" s="14" t="s">
        <v>118</v>
      </c>
      <c r="C19" s="14" t="s">
        <v>70</v>
      </c>
      <c r="D19" s="14" t="s">
        <v>119</v>
      </c>
      <c r="E19" s="14" t="s">
        <v>78</v>
      </c>
      <c r="F19" s="14" t="s">
        <v>120</v>
      </c>
      <c r="G19" s="14" t="s">
        <v>121</v>
      </c>
      <c r="H19" s="14" t="s">
        <v>122</v>
      </c>
      <c r="I19" s="16" t="s">
        <v>5</v>
      </c>
      <c r="J19" s="2" t="s">
        <v>6</v>
      </c>
    </row>
    <row r="20" spans="1:10" ht="30.75">
      <c r="A20" s="13" t="s">
        <v>20</v>
      </c>
      <c r="B20" s="14" t="s">
        <v>123</v>
      </c>
      <c r="C20" s="14" t="s">
        <v>70</v>
      </c>
      <c r="D20" s="14" t="s">
        <v>124</v>
      </c>
      <c r="E20" s="14" t="s">
        <v>78</v>
      </c>
      <c r="F20" s="14" t="s">
        <v>125</v>
      </c>
      <c r="G20" s="14" t="s">
        <v>126</v>
      </c>
      <c r="H20" s="14" t="s">
        <v>127</v>
      </c>
      <c r="I20" s="17" t="s">
        <v>9</v>
      </c>
      <c r="J20" s="2" t="s">
        <v>6</v>
      </c>
    </row>
    <row r="21" spans="1:10" ht="30.75">
      <c r="A21" s="13" t="s">
        <v>20</v>
      </c>
      <c r="B21" s="14" t="s">
        <v>128</v>
      </c>
      <c r="C21" s="14" t="s">
        <v>70</v>
      </c>
      <c r="D21" s="14" t="s">
        <v>129</v>
      </c>
      <c r="E21" s="14" t="s">
        <v>130</v>
      </c>
      <c r="F21" s="14" t="s">
        <v>131</v>
      </c>
      <c r="G21" s="14" t="s">
        <v>132</v>
      </c>
      <c r="H21" s="14" t="s">
        <v>133</v>
      </c>
      <c r="I21" s="15" t="s">
        <v>11</v>
      </c>
      <c r="J21" s="2" t="s">
        <v>6</v>
      </c>
    </row>
    <row r="22" spans="1:10" ht="30.75">
      <c r="A22" s="13" t="s">
        <v>20</v>
      </c>
      <c r="B22" s="14" t="s">
        <v>134</v>
      </c>
      <c r="C22" s="14" t="s">
        <v>70</v>
      </c>
      <c r="D22" s="14" t="s">
        <v>135</v>
      </c>
      <c r="E22" s="14" t="s">
        <v>83</v>
      </c>
      <c r="F22" s="14" t="s">
        <v>136</v>
      </c>
      <c r="G22" s="14" t="s">
        <v>137</v>
      </c>
      <c r="H22" s="14" t="s">
        <v>138</v>
      </c>
      <c r="I22" s="16" t="s">
        <v>5</v>
      </c>
      <c r="J22" s="2" t="s">
        <v>6</v>
      </c>
    </row>
    <row r="23" spans="1:10" ht="30.75">
      <c r="A23" s="13" t="s">
        <v>20</v>
      </c>
      <c r="B23" s="14" t="s">
        <v>139</v>
      </c>
      <c r="C23" s="14" t="s">
        <v>70</v>
      </c>
      <c r="D23" s="14" t="s">
        <v>140</v>
      </c>
      <c r="E23" s="14" t="s">
        <v>78</v>
      </c>
      <c r="F23" s="14" t="s">
        <v>141</v>
      </c>
      <c r="G23" s="14" t="s">
        <v>142</v>
      </c>
      <c r="H23" s="14" t="s">
        <v>143</v>
      </c>
      <c r="I23" s="17" t="s">
        <v>9</v>
      </c>
      <c r="J23" s="2" t="s">
        <v>6</v>
      </c>
    </row>
    <row r="24" spans="1:10" ht="60.75">
      <c r="A24" s="13" t="s">
        <v>20</v>
      </c>
      <c r="B24" s="14" t="s">
        <v>144</v>
      </c>
      <c r="C24" s="14" t="s">
        <v>70</v>
      </c>
      <c r="D24" s="14" t="s">
        <v>145</v>
      </c>
      <c r="E24" s="14" t="s">
        <v>78</v>
      </c>
      <c r="F24" s="14" t="s">
        <v>146</v>
      </c>
      <c r="G24" s="14" t="s">
        <v>147</v>
      </c>
      <c r="H24" s="14" t="s">
        <v>148</v>
      </c>
      <c r="I24" s="15" t="s">
        <v>11</v>
      </c>
      <c r="J24" s="2" t="s">
        <v>6</v>
      </c>
    </row>
    <row r="25" spans="1:10" ht="30.75">
      <c r="A25" s="13" t="s">
        <v>20</v>
      </c>
      <c r="B25" s="14" t="s">
        <v>149</v>
      </c>
      <c r="C25" s="14" t="s">
        <v>70</v>
      </c>
      <c r="D25" s="14" t="s">
        <v>150</v>
      </c>
      <c r="E25" s="14" t="s">
        <v>151</v>
      </c>
      <c r="F25" s="14" t="s">
        <v>152</v>
      </c>
      <c r="G25" s="14" t="s">
        <v>153</v>
      </c>
      <c r="H25" s="14" t="s">
        <v>154</v>
      </c>
      <c r="I25" s="16" t="s">
        <v>5</v>
      </c>
      <c r="J25" s="2" t="s">
        <v>6</v>
      </c>
    </row>
    <row r="26" spans="1:10" ht="45.75">
      <c r="A26" s="13" t="s">
        <v>20</v>
      </c>
      <c r="B26" s="14" t="s">
        <v>155</v>
      </c>
      <c r="C26" s="14" t="s">
        <v>70</v>
      </c>
      <c r="D26" s="14" t="s">
        <v>156</v>
      </c>
      <c r="E26" s="14" t="s">
        <v>151</v>
      </c>
      <c r="F26" s="14" t="s">
        <v>157</v>
      </c>
      <c r="G26" s="14" t="s">
        <v>158</v>
      </c>
      <c r="H26" s="14" t="s">
        <v>159</v>
      </c>
      <c r="I26" s="18" t="s">
        <v>7</v>
      </c>
      <c r="J26" s="2" t="s">
        <v>6</v>
      </c>
    </row>
    <row r="27" spans="1:10" ht="45.75">
      <c r="A27" s="13" t="s">
        <v>20</v>
      </c>
      <c r="B27" s="14" t="s">
        <v>160</v>
      </c>
      <c r="C27" s="14" t="s">
        <v>70</v>
      </c>
      <c r="D27" s="14" t="s">
        <v>161</v>
      </c>
      <c r="E27" s="14" t="s">
        <v>78</v>
      </c>
      <c r="F27" s="14" t="s">
        <v>162</v>
      </c>
      <c r="G27" s="14" t="s">
        <v>163</v>
      </c>
      <c r="H27" s="14" t="s">
        <v>164</v>
      </c>
      <c r="I27" s="16" t="s">
        <v>5</v>
      </c>
      <c r="J27" s="2" t="s">
        <v>6</v>
      </c>
    </row>
    <row r="28" spans="1:10" ht="30.75">
      <c r="A28" s="13" t="s">
        <v>20</v>
      </c>
      <c r="B28" s="14" t="s">
        <v>165</v>
      </c>
      <c r="C28" s="14" t="s">
        <v>70</v>
      </c>
      <c r="D28" s="14" t="s">
        <v>166</v>
      </c>
      <c r="E28" s="14" t="s">
        <v>78</v>
      </c>
      <c r="F28" s="14" t="s">
        <v>167</v>
      </c>
      <c r="G28" s="14" t="s">
        <v>168</v>
      </c>
      <c r="H28" s="14" t="s">
        <v>169</v>
      </c>
      <c r="I28" s="17" t="s">
        <v>9</v>
      </c>
      <c r="J28" s="2" t="s">
        <v>6</v>
      </c>
    </row>
    <row r="29" spans="1:10" ht="62.25">
      <c r="A29" s="13" t="s">
        <v>20</v>
      </c>
      <c r="B29" s="14" t="s">
        <v>170</v>
      </c>
      <c r="C29" s="14" t="s">
        <v>70</v>
      </c>
      <c r="D29" s="14" t="s">
        <v>171</v>
      </c>
      <c r="E29" s="14" t="s">
        <v>78</v>
      </c>
      <c r="F29" s="14" t="s">
        <v>172</v>
      </c>
      <c r="G29" s="14" t="s">
        <v>173</v>
      </c>
      <c r="H29" s="14" t="s">
        <v>174</v>
      </c>
      <c r="I29" s="17" t="s">
        <v>9</v>
      </c>
      <c r="J29" s="2" t="s">
        <v>6</v>
      </c>
    </row>
    <row r="30" spans="1:10" ht="30.75">
      <c r="A30" s="13" t="s">
        <v>20</v>
      </c>
      <c r="B30" s="14" t="s">
        <v>175</v>
      </c>
      <c r="C30" s="14" t="s">
        <v>70</v>
      </c>
      <c r="D30" s="14" t="s">
        <v>176</v>
      </c>
      <c r="E30" s="14" t="s">
        <v>78</v>
      </c>
      <c r="F30" s="14" t="s">
        <v>177</v>
      </c>
      <c r="G30" s="14" t="s">
        <v>178</v>
      </c>
      <c r="H30" s="14" t="s">
        <v>179</v>
      </c>
      <c r="I30" s="16" t="s">
        <v>5</v>
      </c>
      <c r="J30" s="2" t="s">
        <v>6</v>
      </c>
    </row>
    <row r="31" spans="1:10" ht="30.75">
      <c r="A31" s="13" t="s">
        <v>20</v>
      </c>
      <c r="B31" s="14" t="s">
        <v>180</v>
      </c>
      <c r="C31" s="14" t="s">
        <v>70</v>
      </c>
      <c r="D31" s="14" t="s">
        <v>181</v>
      </c>
      <c r="E31" s="14" t="s">
        <v>78</v>
      </c>
      <c r="F31" s="14" t="s">
        <v>182</v>
      </c>
      <c r="G31" s="14" t="s">
        <v>32</v>
      </c>
      <c r="H31" s="14" t="s">
        <v>183</v>
      </c>
      <c r="I31" s="18" t="s">
        <v>7</v>
      </c>
      <c r="J31" s="2" t="s">
        <v>6</v>
      </c>
    </row>
    <row r="32" spans="1:10" ht="76.5">
      <c r="A32" s="13" t="s">
        <v>20</v>
      </c>
      <c r="B32" s="14" t="s">
        <v>184</v>
      </c>
      <c r="C32" s="14" t="s">
        <v>70</v>
      </c>
      <c r="D32" s="14" t="s">
        <v>185</v>
      </c>
      <c r="E32" s="14" t="s">
        <v>78</v>
      </c>
      <c r="F32" s="14" t="s">
        <v>186</v>
      </c>
      <c r="G32" s="14" t="s">
        <v>187</v>
      </c>
      <c r="H32" s="14" t="s">
        <v>188</v>
      </c>
      <c r="I32" s="15" t="s">
        <v>11</v>
      </c>
      <c r="J32" s="2" t="s">
        <v>6</v>
      </c>
    </row>
    <row r="33" spans="1:10" ht="30.75">
      <c r="A33" s="13" t="s">
        <v>20</v>
      </c>
      <c r="B33" s="14" t="s">
        <v>189</v>
      </c>
      <c r="C33" s="14" t="s">
        <v>70</v>
      </c>
      <c r="D33" s="14" t="s">
        <v>190</v>
      </c>
      <c r="E33" s="14" t="s">
        <v>83</v>
      </c>
      <c r="F33" s="14" t="s">
        <v>191</v>
      </c>
      <c r="G33" s="14" t="s">
        <v>192</v>
      </c>
      <c r="H33" s="14" t="s">
        <v>193</v>
      </c>
      <c r="I33" s="16" t="s">
        <v>5</v>
      </c>
      <c r="J33" s="2" t="s">
        <v>6</v>
      </c>
    </row>
    <row r="34" spans="1:10" ht="30.75">
      <c r="A34" s="13" t="s">
        <v>20</v>
      </c>
      <c r="B34" s="14" t="s">
        <v>194</v>
      </c>
      <c r="C34" s="14" t="s">
        <v>70</v>
      </c>
      <c r="D34" s="14" t="s">
        <v>195</v>
      </c>
      <c r="E34" s="14" t="s">
        <v>196</v>
      </c>
      <c r="F34" s="14" t="s">
        <v>197</v>
      </c>
      <c r="G34" s="14" t="s">
        <v>198</v>
      </c>
      <c r="H34" s="14" t="s">
        <v>199</v>
      </c>
      <c r="I34" s="18" t="s">
        <v>7</v>
      </c>
      <c r="J34" s="2" t="s">
        <v>6</v>
      </c>
    </row>
    <row r="35" spans="1:10" ht="30.75">
      <c r="A35" s="13" t="s">
        <v>20</v>
      </c>
      <c r="B35" s="14" t="s">
        <v>200</v>
      </c>
      <c r="C35" s="14" t="s">
        <v>70</v>
      </c>
      <c r="D35" s="14" t="s">
        <v>201</v>
      </c>
      <c r="E35" s="14" t="s">
        <v>78</v>
      </c>
      <c r="F35" s="14" t="s">
        <v>202</v>
      </c>
      <c r="G35" s="14" t="s">
        <v>203</v>
      </c>
      <c r="H35" s="14" t="s">
        <v>204</v>
      </c>
      <c r="I35" s="17" t="s">
        <v>9</v>
      </c>
      <c r="J35" s="2" t="s">
        <v>6</v>
      </c>
    </row>
    <row r="36" spans="1:10" ht="30.75">
      <c r="A36" s="13" t="s">
        <v>20</v>
      </c>
      <c r="B36" s="14" t="s">
        <v>205</v>
      </c>
      <c r="C36" s="14" t="s">
        <v>70</v>
      </c>
      <c r="D36" s="14" t="s">
        <v>206</v>
      </c>
      <c r="E36" s="14" t="s">
        <v>78</v>
      </c>
      <c r="F36" s="14" t="s">
        <v>207</v>
      </c>
      <c r="G36" s="14" t="s">
        <v>208</v>
      </c>
      <c r="H36" s="14" t="s">
        <v>209</v>
      </c>
      <c r="I36" s="17" t="s">
        <v>9</v>
      </c>
      <c r="J36" s="2" t="s">
        <v>6</v>
      </c>
    </row>
    <row r="37" spans="1:10" ht="30.75">
      <c r="A37" s="13" t="s">
        <v>20</v>
      </c>
      <c r="B37" s="14" t="s">
        <v>210</v>
      </c>
      <c r="C37" s="14" t="s">
        <v>70</v>
      </c>
      <c r="D37" s="14" t="s">
        <v>211</v>
      </c>
      <c r="E37" s="14" t="s">
        <v>78</v>
      </c>
      <c r="F37" s="14" t="s">
        <v>212</v>
      </c>
      <c r="G37" s="14" t="s">
        <v>213</v>
      </c>
      <c r="H37" s="14" t="s">
        <v>214</v>
      </c>
      <c r="I37" s="18" t="s">
        <v>7</v>
      </c>
      <c r="J37" s="2" t="s">
        <v>6</v>
      </c>
    </row>
    <row r="38" spans="1:10" ht="45.75">
      <c r="A38" s="13" t="s">
        <v>20</v>
      </c>
      <c r="B38" s="14" t="s">
        <v>215</v>
      </c>
      <c r="C38" s="14" t="s">
        <v>70</v>
      </c>
      <c r="D38" s="14" t="s">
        <v>216</v>
      </c>
      <c r="E38" s="14" t="s">
        <v>83</v>
      </c>
      <c r="F38" s="14" t="s">
        <v>217</v>
      </c>
      <c r="G38" s="14" t="s">
        <v>218</v>
      </c>
      <c r="H38" s="14" t="s">
        <v>219</v>
      </c>
      <c r="I38" s="16" t="s">
        <v>5</v>
      </c>
      <c r="J38" s="2" t="s">
        <v>6</v>
      </c>
    </row>
    <row r="39" spans="1:10" ht="183">
      <c r="A39" s="13" t="s">
        <v>20</v>
      </c>
      <c r="B39" s="14" t="s">
        <v>220</v>
      </c>
      <c r="C39" s="14" t="s">
        <v>221</v>
      </c>
      <c r="D39" s="14" t="s">
        <v>222</v>
      </c>
      <c r="E39" s="14" t="s">
        <v>223</v>
      </c>
      <c r="F39" s="14" t="s">
        <v>224</v>
      </c>
      <c r="G39" s="14" t="s">
        <v>225</v>
      </c>
      <c r="H39" s="14" t="s">
        <v>226</v>
      </c>
      <c r="I39" s="15" t="s">
        <v>11</v>
      </c>
      <c r="J39" s="2" t="s">
        <v>6</v>
      </c>
    </row>
    <row r="40" spans="1:10" ht="137.25">
      <c r="A40" s="13" t="s">
        <v>20</v>
      </c>
      <c r="B40" s="14" t="s">
        <v>227</v>
      </c>
      <c r="C40" s="14" t="s">
        <v>221</v>
      </c>
      <c r="D40" s="14" t="s">
        <v>228</v>
      </c>
      <c r="E40" s="14" t="s">
        <v>229</v>
      </c>
      <c r="F40" s="14" t="s">
        <v>230</v>
      </c>
      <c r="G40" s="14" t="s">
        <v>32</v>
      </c>
      <c r="H40" s="14" t="s">
        <v>231</v>
      </c>
      <c r="I40" s="17" t="s">
        <v>9</v>
      </c>
      <c r="J40" s="2" t="s">
        <v>6</v>
      </c>
    </row>
    <row r="41" spans="1:10" ht="30.75">
      <c r="A41" s="13" t="s">
        <v>20</v>
      </c>
      <c r="B41" s="14" t="s">
        <v>232</v>
      </c>
      <c r="C41" s="14" t="s">
        <v>221</v>
      </c>
      <c r="D41" s="14" t="s">
        <v>233</v>
      </c>
      <c r="E41" s="14" t="s">
        <v>229</v>
      </c>
      <c r="F41" s="14" t="s">
        <v>234</v>
      </c>
      <c r="G41" s="14" t="s">
        <v>235</v>
      </c>
      <c r="H41" s="14" t="s">
        <v>236</v>
      </c>
      <c r="I41" s="16" t="s">
        <v>5</v>
      </c>
      <c r="J41" s="2" t="s">
        <v>6</v>
      </c>
    </row>
    <row r="42" spans="1:10" ht="30.75">
      <c r="A42" s="13" t="s">
        <v>20</v>
      </c>
      <c r="B42" s="14" t="s">
        <v>237</v>
      </c>
      <c r="C42" s="14" t="s">
        <v>221</v>
      </c>
      <c r="D42" s="14" t="s">
        <v>238</v>
      </c>
      <c r="E42" s="14" t="s">
        <v>229</v>
      </c>
      <c r="F42" s="14" t="s">
        <v>239</v>
      </c>
      <c r="G42" s="14" t="s">
        <v>32</v>
      </c>
      <c r="H42" s="14" t="s">
        <v>240</v>
      </c>
      <c r="I42" s="16" t="s">
        <v>5</v>
      </c>
      <c r="J42" s="2" t="s">
        <v>6</v>
      </c>
    </row>
    <row r="43" spans="1:10" ht="30.75">
      <c r="A43" s="13" t="s">
        <v>20</v>
      </c>
      <c r="B43" s="14" t="s">
        <v>241</v>
      </c>
      <c r="C43" s="14" t="s">
        <v>221</v>
      </c>
      <c r="D43" s="14" t="s">
        <v>242</v>
      </c>
      <c r="E43" s="14" t="s">
        <v>229</v>
      </c>
      <c r="F43" s="14" t="s">
        <v>243</v>
      </c>
      <c r="G43" s="14" t="s">
        <v>244</v>
      </c>
      <c r="H43" s="14" t="s">
        <v>179</v>
      </c>
      <c r="I43" s="16" t="s">
        <v>5</v>
      </c>
      <c r="J43" s="2" t="s">
        <v>6</v>
      </c>
    </row>
    <row r="44" spans="1:10" ht="45.75">
      <c r="A44" s="13" t="s">
        <v>20</v>
      </c>
      <c r="B44" s="14" t="s">
        <v>245</v>
      </c>
      <c r="C44" s="14" t="s">
        <v>221</v>
      </c>
      <c r="D44" s="14" t="s">
        <v>246</v>
      </c>
      <c r="E44" s="14" t="s">
        <v>229</v>
      </c>
      <c r="F44" s="14" t="s">
        <v>247</v>
      </c>
      <c r="G44" s="14" t="s">
        <v>248</v>
      </c>
      <c r="H44" s="14" t="s">
        <v>249</v>
      </c>
      <c r="I44" s="16" t="s">
        <v>5</v>
      </c>
      <c r="J44" s="2" t="s">
        <v>6</v>
      </c>
    </row>
    <row r="45" spans="1:10" ht="30.75">
      <c r="A45" s="13" t="s">
        <v>20</v>
      </c>
      <c r="B45" s="14" t="s">
        <v>250</v>
      </c>
      <c r="C45" s="14" t="s">
        <v>221</v>
      </c>
      <c r="D45" s="14" t="s">
        <v>251</v>
      </c>
      <c r="E45" s="14" t="s">
        <v>229</v>
      </c>
      <c r="F45" s="14" t="s">
        <v>252</v>
      </c>
      <c r="G45" s="14" t="s">
        <v>253</v>
      </c>
      <c r="H45" s="14" t="s">
        <v>254</v>
      </c>
      <c r="I45" s="17" t="s">
        <v>9</v>
      </c>
      <c r="J45" s="2" t="s">
        <v>6</v>
      </c>
    </row>
    <row r="46" spans="1:10">
      <c r="A46" s="13" t="s">
        <v>20</v>
      </c>
      <c r="B46" s="14" t="s">
        <v>255</v>
      </c>
      <c r="C46" s="14" t="s">
        <v>221</v>
      </c>
      <c r="D46" s="14" t="s">
        <v>256</v>
      </c>
      <c r="E46" s="14" t="s">
        <v>229</v>
      </c>
      <c r="F46" s="14" t="s">
        <v>257</v>
      </c>
      <c r="G46" s="14" t="s">
        <v>258</v>
      </c>
      <c r="H46" s="14" t="s">
        <v>259</v>
      </c>
      <c r="I46" s="17" t="s">
        <v>9</v>
      </c>
      <c r="J46" s="2" t="s">
        <v>6</v>
      </c>
    </row>
    <row r="47" spans="1:10">
      <c r="A47" s="13" t="s">
        <v>20</v>
      </c>
      <c r="B47" s="14" t="s">
        <v>260</v>
      </c>
      <c r="C47" s="14" t="s">
        <v>221</v>
      </c>
      <c r="D47" s="14" t="s">
        <v>261</v>
      </c>
      <c r="E47" s="14" t="s">
        <v>229</v>
      </c>
      <c r="F47" s="14" t="s">
        <v>262</v>
      </c>
      <c r="G47" s="14" t="s">
        <v>263</v>
      </c>
      <c r="H47" s="14" t="s">
        <v>264</v>
      </c>
      <c r="I47" s="17" t="s">
        <v>9</v>
      </c>
      <c r="J47" s="2" t="s">
        <v>6</v>
      </c>
    </row>
    <row r="48" spans="1:10" ht="30.75">
      <c r="A48" s="13" t="s">
        <v>20</v>
      </c>
      <c r="B48" s="14" t="s">
        <v>265</v>
      </c>
      <c r="C48" s="14" t="s">
        <v>221</v>
      </c>
      <c r="D48" s="14" t="s">
        <v>266</v>
      </c>
      <c r="E48" s="14" t="s">
        <v>229</v>
      </c>
      <c r="F48" s="14" t="s">
        <v>267</v>
      </c>
      <c r="G48" s="14" t="s">
        <v>268</v>
      </c>
      <c r="H48" s="14" t="s">
        <v>269</v>
      </c>
      <c r="I48" s="18" t="s">
        <v>7</v>
      </c>
      <c r="J48" s="2" t="s">
        <v>6</v>
      </c>
    </row>
    <row r="49" spans="1:10" ht="30.75">
      <c r="A49" s="13" t="s">
        <v>20</v>
      </c>
      <c r="B49" s="14" t="s">
        <v>270</v>
      </c>
      <c r="C49" s="14" t="s">
        <v>221</v>
      </c>
      <c r="D49" s="14" t="s">
        <v>271</v>
      </c>
      <c r="E49" s="14" t="s">
        <v>229</v>
      </c>
      <c r="F49" s="14" t="s">
        <v>272</v>
      </c>
      <c r="G49" s="14" t="s">
        <v>273</v>
      </c>
      <c r="H49" s="14" t="s">
        <v>274</v>
      </c>
      <c r="I49" s="17" t="s">
        <v>9</v>
      </c>
      <c r="J49" s="2" t="s">
        <v>6</v>
      </c>
    </row>
    <row r="50" spans="1:10" ht="45.75">
      <c r="A50" s="13" t="s">
        <v>20</v>
      </c>
      <c r="B50" s="14" t="s">
        <v>275</v>
      </c>
      <c r="C50" s="14" t="s">
        <v>221</v>
      </c>
      <c r="D50" s="14" t="s">
        <v>276</v>
      </c>
      <c r="E50" s="14" t="s">
        <v>229</v>
      </c>
      <c r="F50" s="14" t="s">
        <v>277</v>
      </c>
      <c r="G50" s="14" t="s">
        <v>278</v>
      </c>
      <c r="H50" s="14" t="s">
        <v>279</v>
      </c>
      <c r="I50" s="18" t="s">
        <v>7</v>
      </c>
      <c r="J50" s="2" t="s">
        <v>6</v>
      </c>
    </row>
    <row r="51" spans="1:10" ht="60.75">
      <c r="A51" s="13" t="s">
        <v>20</v>
      </c>
      <c r="B51" s="14" t="s">
        <v>280</v>
      </c>
      <c r="C51" s="14" t="s">
        <v>221</v>
      </c>
      <c r="D51" s="14" t="s">
        <v>281</v>
      </c>
      <c r="E51" s="14" t="s">
        <v>282</v>
      </c>
      <c r="F51" s="14" t="s">
        <v>283</v>
      </c>
      <c r="G51" s="14" t="s">
        <v>263</v>
      </c>
      <c r="H51" s="14" t="s">
        <v>284</v>
      </c>
      <c r="I51" s="16" t="s">
        <v>5</v>
      </c>
      <c r="J51" s="2" t="s">
        <v>6</v>
      </c>
    </row>
    <row r="52" spans="1:10" ht="45.75">
      <c r="A52" s="13" t="s">
        <v>20</v>
      </c>
      <c r="B52" s="14" t="s">
        <v>285</v>
      </c>
      <c r="C52" s="14" t="s">
        <v>221</v>
      </c>
      <c r="D52" s="14" t="s">
        <v>286</v>
      </c>
      <c r="E52" s="14" t="s">
        <v>287</v>
      </c>
      <c r="F52" s="14" t="s">
        <v>288</v>
      </c>
      <c r="G52" s="14" t="s">
        <v>258</v>
      </c>
      <c r="H52" s="14" t="s">
        <v>289</v>
      </c>
      <c r="I52" s="17" t="s">
        <v>9</v>
      </c>
      <c r="J52" s="2" t="s">
        <v>6</v>
      </c>
    </row>
    <row r="53" spans="1:10" ht="45.75">
      <c r="A53" s="13" t="s">
        <v>20</v>
      </c>
      <c r="B53" s="14" t="s">
        <v>290</v>
      </c>
      <c r="C53" s="14" t="s">
        <v>221</v>
      </c>
      <c r="D53" s="14" t="s">
        <v>291</v>
      </c>
      <c r="E53" s="14" t="s">
        <v>292</v>
      </c>
      <c r="F53" s="14" t="s">
        <v>293</v>
      </c>
      <c r="G53" s="14" t="s">
        <v>294</v>
      </c>
      <c r="H53" s="14" t="s">
        <v>295</v>
      </c>
      <c r="I53" s="16" t="s">
        <v>5</v>
      </c>
      <c r="J53" s="2" t="s">
        <v>6</v>
      </c>
    </row>
    <row r="54" spans="1:10" ht="45.75">
      <c r="A54" s="13" t="s">
        <v>20</v>
      </c>
      <c r="B54" s="14" t="s">
        <v>296</v>
      </c>
      <c r="C54" s="14" t="s">
        <v>297</v>
      </c>
      <c r="D54" s="14" t="s">
        <v>298</v>
      </c>
      <c r="E54" s="14" t="s">
        <v>299</v>
      </c>
      <c r="F54" s="14" t="s">
        <v>300</v>
      </c>
      <c r="G54" s="14" t="s">
        <v>301</v>
      </c>
      <c r="H54" s="14" t="s">
        <v>302</v>
      </c>
      <c r="I54" s="15" t="s">
        <v>11</v>
      </c>
      <c r="J54" s="2" t="s">
        <v>6</v>
      </c>
    </row>
    <row r="55" spans="1:10" ht="30.75">
      <c r="A55" s="13" t="s">
        <v>20</v>
      </c>
      <c r="B55" s="14" t="s">
        <v>303</v>
      </c>
      <c r="C55" s="14" t="s">
        <v>297</v>
      </c>
      <c r="D55" s="14" t="s">
        <v>304</v>
      </c>
      <c r="E55" s="14" t="s">
        <v>305</v>
      </c>
      <c r="F55" s="14" t="s">
        <v>306</v>
      </c>
      <c r="G55" s="14" t="s">
        <v>307</v>
      </c>
      <c r="H55" s="14" t="s">
        <v>308</v>
      </c>
      <c r="I55" s="15" t="s">
        <v>11</v>
      </c>
      <c r="J55" s="2" t="s">
        <v>6</v>
      </c>
    </row>
    <row r="56" spans="1:10" ht="45.75">
      <c r="A56" s="13" t="s">
        <v>20</v>
      </c>
      <c r="B56" s="14" t="s">
        <v>309</v>
      </c>
      <c r="C56" s="14" t="s">
        <v>297</v>
      </c>
      <c r="D56" s="14" t="s">
        <v>310</v>
      </c>
      <c r="E56" s="14" t="s">
        <v>311</v>
      </c>
      <c r="F56" s="14" t="s">
        <v>312</v>
      </c>
      <c r="G56" s="14" t="s">
        <v>313</v>
      </c>
      <c r="H56" s="14" t="s">
        <v>314</v>
      </c>
      <c r="I56" s="16" t="s">
        <v>5</v>
      </c>
      <c r="J56" s="2" t="s">
        <v>6</v>
      </c>
    </row>
    <row r="57" spans="1:10" ht="45.75">
      <c r="A57" s="13" t="s">
        <v>20</v>
      </c>
      <c r="B57" s="14" t="s">
        <v>315</v>
      </c>
      <c r="C57" s="14" t="s">
        <v>297</v>
      </c>
      <c r="D57" s="14" t="s">
        <v>316</v>
      </c>
      <c r="E57" s="14" t="s">
        <v>311</v>
      </c>
      <c r="F57" s="14" t="s">
        <v>317</v>
      </c>
      <c r="G57" s="14" t="s">
        <v>318</v>
      </c>
      <c r="H57" s="14" t="s">
        <v>319</v>
      </c>
      <c r="I57" s="16" t="s">
        <v>5</v>
      </c>
      <c r="J57" s="2" t="s">
        <v>6</v>
      </c>
    </row>
    <row r="58" spans="1:10" ht="30.75">
      <c r="A58" s="13" t="s">
        <v>20</v>
      </c>
      <c r="B58" s="14" t="s">
        <v>320</v>
      </c>
      <c r="C58" s="14" t="s">
        <v>297</v>
      </c>
      <c r="D58" s="14" t="s">
        <v>321</v>
      </c>
      <c r="E58" s="14" t="s">
        <v>322</v>
      </c>
      <c r="F58" s="14" t="s">
        <v>323</v>
      </c>
      <c r="G58" s="14" t="s">
        <v>324</v>
      </c>
      <c r="H58" s="14" t="s">
        <v>325</v>
      </c>
      <c r="I58" s="16" t="s">
        <v>5</v>
      </c>
      <c r="J58" s="2" t="s">
        <v>6</v>
      </c>
    </row>
    <row r="59" spans="1:10" ht="152.25">
      <c r="A59" s="13" t="s">
        <v>20</v>
      </c>
      <c r="B59" s="14" t="s">
        <v>326</v>
      </c>
      <c r="C59" s="14" t="s">
        <v>297</v>
      </c>
      <c r="D59" s="14" t="s">
        <v>327</v>
      </c>
      <c r="E59" s="14" t="s">
        <v>311</v>
      </c>
      <c r="F59" s="14" t="s">
        <v>328</v>
      </c>
      <c r="G59" s="14" t="s">
        <v>32</v>
      </c>
      <c r="H59" s="14" t="s">
        <v>329</v>
      </c>
      <c r="I59" s="17" t="s">
        <v>9</v>
      </c>
      <c r="J59" s="2" t="s">
        <v>6</v>
      </c>
    </row>
    <row r="60" spans="1:10" ht="45.75">
      <c r="A60" s="13" t="s">
        <v>20</v>
      </c>
      <c r="B60" s="14" t="s">
        <v>330</v>
      </c>
      <c r="C60" s="14" t="s">
        <v>297</v>
      </c>
      <c r="D60" s="14" t="s">
        <v>331</v>
      </c>
      <c r="E60" s="14" t="s">
        <v>332</v>
      </c>
      <c r="F60" s="14" t="s">
        <v>333</v>
      </c>
      <c r="G60" s="14" t="s">
        <v>334</v>
      </c>
      <c r="H60" s="14" t="s">
        <v>335</v>
      </c>
      <c r="I60" s="17" t="s">
        <v>9</v>
      </c>
      <c r="J60" s="2" t="s">
        <v>6</v>
      </c>
    </row>
    <row r="61" spans="1:10" ht="45.75">
      <c r="A61" s="13" t="s">
        <v>20</v>
      </c>
      <c r="B61" s="14" t="s">
        <v>336</v>
      </c>
      <c r="C61" s="14" t="s">
        <v>297</v>
      </c>
      <c r="D61" s="14" t="s">
        <v>337</v>
      </c>
      <c r="E61" s="14" t="s">
        <v>338</v>
      </c>
      <c r="F61" s="14" t="s">
        <v>339</v>
      </c>
      <c r="G61" s="14" t="s">
        <v>340</v>
      </c>
      <c r="H61" s="14" t="s">
        <v>341</v>
      </c>
      <c r="I61" s="17" t="s">
        <v>9</v>
      </c>
      <c r="J61" s="2" t="s">
        <v>6</v>
      </c>
    </row>
    <row r="62" spans="1:10" ht="30.75">
      <c r="A62" s="13" t="s">
        <v>20</v>
      </c>
      <c r="B62" s="14" t="s">
        <v>342</v>
      </c>
      <c r="C62" s="14" t="s">
        <v>297</v>
      </c>
      <c r="D62" s="14" t="s">
        <v>343</v>
      </c>
      <c r="E62" s="14" t="s">
        <v>311</v>
      </c>
      <c r="F62" s="14" t="s">
        <v>344</v>
      </c>
      <c r="G62" s="14" t="s">
        <v>345</v>
      </c>
      <c r="H62" s="14" t="s">
        <v>346</v>
      </c>
      <c r="I62" s="17" t="s">
        <v>9</v>
      </c>
      <c r="J62" s="2" t="s">
        <v>6</v>
      </c>
    </row>
    <row r="63" spans="1:10" ht="45.75">
      <c r="A63" s="13" t="s">
        <v>20</v>
      </c>
      <c r="B63" s="14" t="s">
        <v>347</v>
      </c>
      <c r="C63" s="14" t="s">
        <v>297</v>
      </c>
      <c r="D63" s="14" t="s">
        <v>348</v>
      </c>
      <c r="E63" s="14" t="s">
        <v>311</v>
      </c>
      <c r="F63" s="14" t="s">
        <v>349</v>
      </c>
      <c r="G63" s="14" t="s">
        <v>32</v>
      </c>
      <c r="H63" s="14" t="s">
        <v>350</v>
      </c>
      <c r="I63" s="18" t="s">
        <v>7</v>
      </c>
      <c r="J63" s="2" t="s">
        <v>6</v>
      </c>
    </row>
    <row r="64" spans="1:10" ht="30.75">
      <c r="A64" s="13" t="s">
        <v>20</v>
      </c>
      <c r="B64" s="14" t="s">
        <v>351</v>
      </c>
      <c r="C64" s="14" t="s">
        <v>297</v>
      </c>
      <c r="D64" s="14" t="s">
        <v>352</v>
      </c>
      <c r="E64" s="14" t="s">
        <v>353</v>
      </c>
      <c r="F64" s="14" t="s">
        <v>354</v>
      </c>
      <c r="G64" s="14" t="s">
        <v>96</v>
      </c>
      <c r="H64" s="14" t="s">
        <v>355</v>
      </c>
      <c r="I64" s="18" t="s">
        <v>7</v>
      </c>
      <c r="J64" s="2" t="s">
        <v>6</v>
      </c>
    </row>
    <row r="65" spans="1:10" ht="30.75">
      <c r="A65" s="13" t="s">
        <v>20</v>
      </c>
      <c r="B65" s="14" t="s">
        <v>356</v>
      </c>
      <c r="C65" s="14" t="s">
        <v>297</v>
      </c>
      <c r="D65" s="14" t="s">
        <v>357</v>
      </c>
      <c r="E65" s="14" t="s">
        <v>311</v>
      </c>
      <c r="F65" s="14" t="s">
        <v>358</v>
      </c>
      <c r="G65" s="14" t="s">
        <v>359</v>
      </c>
      <c r="H65" s="14" t="s">
        <v>360</v>
      </c>
      <c r="I65" s="17" t="s">
        <v>9</v>
      </c>
      <c r="J65" s="2" t="s">
        <v>6</v>
      </c>
    </row>
    <row r="66" spans="1:10" ht="45.75">
      <c r="A66" s="13" t="s">
        <v>20</v>
      </c>
      <c r="B66" s="14" t="s">
        <v>361</v>
      </c>
      <c r="C66" s="14" t="s">
        <v>297</v>
      </c>
      <c r="D66" s="14" t="s">
        <v>362</v>
      </c>
      <c r="E66" s="14" t="s">
        <v>363</v>
      </c>
      <c r="F66" s="14" t="s">
        <v>364</v>
      </c>
      <c r="G66" s="14" t="s">
        <v>32</v>
      </c>
      <c r="H66" s="14" t="s">
        <v>365</v>
      </c>
      <c r="I66" s="18" t="s">
        <v>7</v>
      </c>
      <c r="J66" s="2" t="s">
        <v>6</v>
      </c>
    </row>
    <row r="67" spans="1:10" ht="45.75">
      <c r="A67" s="13" t="s">
        <v>20</v>
      </c>
      <c r="B67" s="14" t="s">
        <v>366</v>
      </c>
      <c r="C67" s="14" t="s">
        <v>367</v>
      </c>
      <c r="D67" s="14" t="s">
        <v>368</v>
      </c>
      <c r="E67" s="14" t="s">
        <v>369</v>
      </c>
      <c r="F67" s="14" t="s">
        <v>370</v>
      </c>
      <c r="G67" s="14" t="s">
        <v>371</v>
      </c>
      <c r="H67" s="14" t="s">
        <v>372</v>
      </c>
      <c r="I67" s="15" t="s">
        <v>11</v>
      </c>
      <c r="J67" s="2" t="s">
        <v>6</v>
      </c>
    </row>
    <row r="68" spans="1:10" ht="45.75">
      <c r="A68" s="13" t="s">
        <v>20</v>
      </c>
      <c r="B68" s="14" t="s">
        <v>373</v>
      </c>
      <c r="C68" s="14" t="s">
        <v>367</v>
      </c>
      <c r="D68" s="14" t="s">
        <v>374</v>
      </c>
      <c r="E68" s="14" t="s">
        <v>375</v>
      </c>
      <c r="F68" s="14" t="s">
        <v>376</v>
      </c>
      <c r="G68" s="14" t="s">
        <v>377</v>
      </c>
      <c r="H68" s="14" t="s">
        <v>378</v>
      </c>
      <c r="I68" s="16" t="s">
        <v>5</v>
      </c>
      <c r="J68" s="2" t="s">
        <v>6</v>
      </c>
    </row>
    <row r="69" spans="1:10" ht="76.5">
      <c r="A69" s="13" t="s">
        <v>20</v>
      </c>
      <c r="B69" s="14" t="s">
        <v>379</v>
      </c>
      <c r="C69" s="14" t="s">
        <v>367</v>
      </c>
      <c r="D69" s="14" t="s">
        <v>380</v>
      </c>
      <c r="E69" s="14" t="s">
        <v>375</v>
      </c>
      <c r="F69" s="14" t="s">
        <v>381</v>
      </c>
      <c r="G69" s="14" t="s">
        <v>32</v>
      </c>
      <c r="H69" s="14" t="s">
        <v>382</v>
      </c>
      <c r="I69" s="17" t="s">
        <v>9</v>
      </c>
      <c r="J69" s="2" t="s">
        <v>6</v>
      </c>
    </row>
    <row r="70" spans="1:10" ht="30.75">
      <c r="A70" s="13" t="s">
        <v>20</v>
      </c>
      <c r="B70" s="14" t="s">
        <v>383</v>
      </c>
      <c r="C70" s="14" t="s">
        <v>367</v>
      </c>
      <c r="D70" s="14" t="s">
        <v>384</v>
      </c>
      <c r="E70" s="14" t="s">
        <v>375</v>
      </c>
      <c r="F70" s="14" t="s">
        <v>364</v>
      </c>
      <c r="G70" s="14" t="s">
        <v>32</v>
      </c>
      <c r="H70" s="14" t="s">
        <v>385</v>
      </c>
      <c r="I70" s="18" t="s">
        <v>7</v>
      </c>
      <c r="J70" s="2" t="s">
        <v>6</v>
      </c>
    </row>
    <row r="71" spans="1:10" ht="30.75">
      <c r="A71" s="13" t="s">
        <v>20</v>
      </c>
      <c r="B71" s="14" t="s">
        <v>386</v>
      </c>
      <c r="C71" s="14" t="s">
        <v>367</v>
      </c>
      <c r="D71" s="14" t="s">
        <v>387</v>
      </c>
      <c r="E71" s="14" t="s">
        <v>375</v>
      </c>
      <c r="F71" s="14" t="s">
        <v>388</v>
      </c>
      <c r="G71" s="14" t="s">
        <v>32</v>
      </c>
      <c r="H71" s="14" t="s">
        <v>389</v>
      </c>
      <c r="I71" s="18" t="s">
        <v>7</v>
      </c>
      <c r="J71" s="2" t="s">
        <v>6</v>
      </c>
    </row>
    <row r="72" spans="1:10" ht="30.75">
      <c r="A72" s="13" t="s">
        <v>20</v>
      </c>
      <c r="B72" s="14" t="s">
        <v>390</v>
      </c>
      <c r="C72" s="14" t="s">
        <v>391</v>
      </c>
      <c r="D72" s="14" t="s">
        <v>392</v>
      </c>
      <c r="E72" s="14" t="s">
        <v>393</v>
      </c>
      <c r="F72" s="14" t="s">
        <v>394</v>
      </c>
      <c r="G72" s="14" t="s">
        <v>395</v>
      </c>
      <c r="H72" s="14" t="s">
        <v>396</v>
      </c>
      <c r="I72" s="16" t="s">
        <v>5</v>
      </c>
      <c r="J72" s="2" t="s">
        <v>6</v>
      </c>
    </row>
    <row r="73" spans="1:10" ht="76.5">
      <c r="A73" s="13" t="s">
        <v>20</v>
      </c>
      <c r="B73" s="14" t="s">
        <v>397</v>
      </c>
      <c r="C73" s="14" t="s">
        <v>391</v>
      </c>
      <c r="D73" s="14" t="s">
        <v>398</v>
      </c>
      <c r="E73" s="14" t="s">
        <v>399</v>
      </c>
      <c r="F73" s="14" t="s">
        <v>400</v>
      </c>
      <c r="G73" s="14" t="s">
        <v>32</v>
      </c>
      <c r="H73" s="14" t="s">
        <v>401</v>
      </c>
      <c r="I73" s="17" t="s">
        <v>9</v>
      </c>
      <c r="J73" s="2" t="s">
        <v>6</v>
      </c>
    </row>
    <row r="74" spans="1:10" ht="45.75">
      <c r="A74" s="13" t="s">
        <v>20</v>
      </c>
      <c r="B74" s="14" t="s">
        <v>402</v>
      </c>
      <c r="C74" s="14" t="s">
        <v>391</v>
      </c>
      <c r="D74" s="14" t="s">
        <v>403</v>
      </c>
      <c r="E74" s="14" t="s">
        <v>399</v>
      </c>
      <c r="F74" s="14" t="s">
        <v>404</v>
      </c>
      <c r="G74" s="14" t="s">
        <v>405</v>
      </c>
      <c r="H74" s="14" t="s">
        <v>406</v>
      </c>
      <c r="I74" s="16" t="s">
        <v>5</v>
      </c>
      <c r="J74" s="2" t="s">
        <v>6</v>
      </c>
    </row>
    <row r="75" spans="1:10" ht="30.75">
      <c r="A75" s="13" t="s">
        <v>20</v>
      </c>
      <c r="B75" s="14" t="s">
        <v>407</v>
      </c>
      <c r="C75" s="14" t="s">
        <v>391</v>
      </c>
      <c r="D75" s="14" t="s">
        <v>408</v>
      </c>
      <c r="E75" s="14" t="s">
        <v>399</v>
      </c>
      <c r="F75" s="14" t="s">
        <v>409</v>
      </c>
      <c r="G75" s="14" t="s">
        <v>410</v>
      </c>
      <c r="H75" s="14" t="s">
        <v>411</v>
      </c>
      <c r="I75" s="17" t="s">
        <v>9</v>
      </c>
      <c r="J75" s="2" t="s">
        <v>6</v>
      </c>
    </row>
    <row r="76" spans="1:10" ht="30.75">
      <c r="A76" s="13" t="s">
        <v>20</v>
      </c>
      <c r="B76" s="14" t="s">
        <v>412</v>
      </c>
      <c r="C76" s="14" t="s">
        <v>391</v>
      </c>
      <c r="D76" s="14" t="s">
        <v>413</v>
      </c>
      <c r="E76" s="14" t="s">
        <v>399</v>
      </c>
      <c r="F76" s="14" t="s">
        <v>414</v>
      </c>
      <c r="G76" s="14" t="s">
        <v>415</v>
      </c>
      <c r="H76" s="14" t="s">
        <v>416</v>
      </c>
      <c r="I76" s="18" t="s">
        <v>7</v>
      </c>
      <c r="J76" s="2" t="s">
        <v>6</v>
      </c>
    </row>
    <row r="77" spans="1:10" ht="30.75">
      <c r="A77" s="13" t="s">
        <v>20</v>
      </c>
      <c r="B77" s="14" t="s">
        <v>417</v>
      </c>
      <c r="C77" s="14" t="s">
        <v>391</v>
      </c>
      <c r="D77" s="14" t="s">
        <v>418</v>
      </c>
      <c r="E77" s="14" t="s">
        <v>399</v>
      </c>
      <c r="F77" s="14" t="s">
        <v>419</v>
      </c>
      <c r="G77" s="14" t="s">
        <v>420</v>
      </c>
      <c r="H77" s="14" t="s">
        <v>421</v>
      </c>
      <c r="I77" s="17" t="s">
        <v>9</v>
      </c>
      <c r="J77" s="2" t="s">
        <v>6</v>
      </c>
    </row>
    <row r="78" spans="1:10" ht="30.75">
      <c r="A78" s="13" t="s">
        <v>20</v>
      </c>
      <c r="B78" s="14" t="s">
        <v>422</v>
      </c>
      <c r="C78" s="14" t="s">
        <v>391</v>
      </c>
      <c r="D78" s="14" t="s">
        <v>423</v>
      </c>
      <c r="E78" s="14" t="s">
        <v>424</v>
      </c>
      <c r="F78" s="14" t="s">
        <v>425</v>
      </c>
      <c r="G78" s="14" t="s">
        <v>96</v>
      </c>
      <c r="H78" s="14" t="s">
        <v>426</v>
      </c>
      <c r="I78" s="18" t="s">
        <v>7</v>
      </c>
      <c r="J78" s="2" t="s">
        <v>6</v>
      </c>
    </row>
    <row r="79" spans="1:10" ht="30.75">
      <c r="A79" s="13" t="s">
        <v>20</v>
      </c>
      <c r="B79" s="14" t="s">
        <v>427</v>
      </c>
      <c r="C79" s="14" t="s">
        <v>391</v>
      </c>
      <c r="D79" s="14" t="s">
        <v>428</v>
      </c>
      <c r="E79" s="14" t="s">
        <v>429</v>
      </c>
      <c r="F79" s="14" t="s">
        <v>430</v>
      </c>
      <c r="G79" s="14" t="s">
        <v>198</v>
      </c>
      <c r="H79" s="14" t="s">
        <v>431</v>
      </c>
      <c r="I79" s="18" t="s">
        <v>7</v>
      </c>
      <c r="J79" s="2" t="s">
        <v>6</v>
      </c>
    </row>
    <row r="80" spans="1:10" ht="91.5">
      <c r="A80" s="13" t="s">
        <v>20</v>
      </c>
      <c r="B80" s="14" t="s">
        <v>432</v>
      </c>
      <c r="C80" s="14" t="s">
        <v>433</v>
      </c>
      <c r="D80" s="14" t="s">
        <v>434</v>
      </c>
      <c r="E80" s="14" t="s">
        <v>435</v>
      </c>
      <c r="F80" s="14" t="s">
        <v>436</v>
      </c>
      <c r="G80" s="14" t="s">
        <v>437</v>
      </c>
      <c r="H80" s="14" t="s">
        <v>438</v>
      </c>
      <c r="I80" s="16" t="s">
        <v>5</v>
      </c>
      <c r="J80" s="2" t="s">
        <v>6</v>
      </c>
    </row>
    <row r="81" spans="1:10" ht="76.5">
      <c r="A81" s="13" t="s">
        <v>20</v>
      </c>
      <c r="B81" s="14" t="s">
        <v>439</v>
      </c>
      <c r="C81" s="14" t="s">
        <v>433</v>
      </c>
      <c r="D81" s="14" t="s">
        <v>440</v>
      </c>
      <c r="E81" s="14" t="s">
        <v>441</v>
      </c>
      <c r="F81" s="14" t="s">
        <v>442</v>
      </c>
      <c r="G81" s="14" t="s">
        <v>443</v>
      </c>
      <c r="H81" s="14" t="s">
        <v>444</v>
      </c>
      <c r="I81" s="16" t="s">
        <v>5</v>
      </c>
      <c r="J81" s="2" t="s">
        <v>6</v>
      </c>
    </row>
    <row r="82" spans="1:10" ht="45.75">
      <c r="A82" s="13" t="s">
        <v>20</v>
      </c>
      <c r="B82" s="14" t="s">
        <v>445</v>
      </c>
      <c r="C82" s="14" t="s">
        <v>433</v>
      </c>
      <c r="D82" s="14" t="s">
        <v>446</v>
      </c>
      <c r="E82" s="14" t="s">
        <v>447</v>
      </c>
      <c r="F82" s="14" t="s">
        <v>448</v>
      </c>
      <c r="G82" s="14" t="s">
        <v>449</v>
      </c>
      <c r="H82" s="14" t="s">
        <v>450</v>
      </c>
      <c r="I82" s="15" t="s">
        <v>11</v>
      </c>
      <c r="J82" s="2" t="s">
        <v>6</v>
      </c>
    </row>
    <row r="83" spans="1:10" ht="60.75">
      <c r="A83" s="13" t="s">
        <v>20</v>
      </c>
      <c r="B83" s="14" t="s">
        <v>451</v>
      </c>
      <c r="C83" s="14" t="s">
        <v>433</v>
      </c>
      <c r="D83" s="14" t="s">
        <v>452</v>
      </c>
      <c r="E83" s="14" t="s">
        <v>453</v>
      </c>
      <c r="F83" s="14" t="s">
        <v>454</v>
      </c>
      <c r="G83" s="14" t="s">
        <v>455</v>
      </c>
      <c r="H83" s="14" t="s">
        <v>456</v>
      </c>
      <c r="I83" s="16" t="s">
        <v>5</v>
      </c>
      <c r="J83" s="2" t="s">
        <v>6</v>
      </c>
    </row>
    <row r="84" spans="1:10" ht="45.75">
      <c r="A84" s="13" t="s">
        <v>20</v>
      </c>
      <c r="B84" s="14" t="s">
        <v>457</v>
      </c>
      <c r="C84" s="14" t="s">
        <v>433</v>
      </c>
      <c r="D84" s="14" t="s">
        <v>458</v>
      </c>
      <c r="E84" s="14" t="s">
        <v>447</v>
      </c>
      <c r="F84" s="14" t="s">
        <v>459</v>
      </c>
      <c r="G84" s="14" t="s">
        <v>460</v>
      </c>
      <c r="H84" s="14" t="s">
        <v>450</v>
      </c>
      <c r="I84" s="16" t="s">
        <v>5</v>
      </c>
      <c r="J84" s="2" t="s">
        <v>6</v>
      </c>
    </row>
    <row r="85" spans="1:10" ht="60.75">
      <c r="A85" s="13" t="s">
        <v>20</v>
      </c>
      <c r="B85" s="14" t="s">
        <v>461</v>
      </c>
      <c r="C85" s="14" t="s">
        <v>433</v>
      </c>
      <c r="D85" s="14" t="s">
        <v>462</v>
      </c>
      <c r="E85" s="14" t="s">
        <v>463</v>
      </c>
      <c r="F85" s="14" t="s">
        <v>464</v>
      </c>
      <c r="G85" s="14" t="s">
        <v>465</v>
      </c>
      <c r="H85" s="14" t="s">
        <v>466</v>
      </c>
      <c r="I85" s="17" t="s">
        <v>9</v>
      </c>
      <c r="J85" s="2" t="s">
        <v>6</v>
      </c>
    </row>
    <row r="86" spans="1:10" ht="30.75">
      <c r="A86" s="13" t="s">
        <v>20</v>
      </c>
      <c r="B86" s="14" t="s">
        <v>467</v>
      </c>
      <c r="C86" s="14" t="s">
        <v>433</v>
      </c>
      <c r="D86" s="14" t="s">
        <v>468</v>
      </c>
      <c r="E86" s="14" t="s">
        <v>469</v>
      </c>
      <c r="F86" s="14" t="s">
        <v>470</v>
      </c>
      <c r="G86" s="14" t="s">
        <v>471</v>
      </c>
      <c r="H86" s="14" t="s">
        <v>472</v>
      </c>
      <c r="I86" s="17" t="s">
        <v>9</v>
      </c>
      <c r="J86" s="2" t="s">
        <v>6</v>
      </c>
    </row>
    <row r="87" spans="1:10" ht="121.5">
      <c r="A87" s="13" t="s">
        <v>20</v>
      </c>
      <c r="B87" s="14" t="s">
        <v>473</v>
      </c>
      <c r="C87" s="14" t="s">
        <v>433</v>
      </c>
      <c r="D87" s="14" t="s">
        <v>474</v>
      </c>
      <c r="E87" s="14" t="s">
        <v>469</v>
      </c>
      <c r="F87" s="14" t="s">
        <v>475</v>
      </c>
      <c r="G87" s="14" t="s">
        <v>32</v>
      </c>
      <c r="H87" s="14" t="s">
        <v>476</v>
      </c>
      <c r="I87" s="17" t="s">
        <v>9</v>
      </c>
      <c r="J87" s="2" t="s">
        <v>6</v>
      </c>
    </row>
    <row r="88" spans="1:10" ht="30.75">
      <c r="A88" s="13" t="s">
        <v>20</v>
      </c>
      <c r="B88" s="14" t="s">
        <v>477</v>
      </c>
      <c r="C88" s="14" t="s">
        <v>433</v>
      </c>
      <c r="D88" s="14" t="s">
        <v>478</v>
      </c>
      <c r="E88" s="14" t="s">
        <v>479</v>
      </c>
      <c r="F88" s="14" t="s">
        <v>480</v>
      </c>
      <c r="G88" s="14" t="s">
        <v>32</v>
      </c>
      <c r="H88" s="14" t="s">
        <v>481</v>
      </c>
      <c r="I88" s="18" t="s">
        <v>7</v>
      </c>
      <c r="J88" s="2" t="s">
        <v>6</v>
      </c>
    </row>
    <row r="89" spans="1:10" ht="30.75">
      <c r="A89" s="13" t="s">
        <v>20</v>
      </c>
      <c r="B89" s="14" t="s">
        <v>482</v>
      </c>
      <c r="C89" s="14" t="s">
        <v>433</v>
      </c>
      <c r="D89" s="14" t="s">
        <v>483</v>
      </c>
      <c r="E89" s="14" t="s">
        <v>484</v>
      </c>
      <c r="F89" s="14" t="s">
        <v>485</v>
      </c>
      <c r="G89" s="14" t="s">
        <v>486</v>
      </c>
      <c r="H89" s="14" t="s">
        <v>487</v>
      </c>
      <c r="I89" s="18" t="s">
        <v>7</v>
      </c>
      <c r="J89" s="2" t="s">
        <v>6</v>
      </c>
    </row>
    <row r="90" spans="1:10" ht="30.75">
      <c r="A90" s="13" t="s">
        <v>20</v>
      </c>
      <c r="B90" s="14" t="s">
        <v>488</v>
      </c>
      <c r="C90" s="14" t="s">
        <v>489</v>
      </c>
      <c r="D90" s="14" t="s">
        <v>490</v>
      </c>
      <c r="E90" s="14" t="s">
        <v>491</v>
      </c>
      <c r="F90" s="14" t="s">
        <v>306</v>
      </c>
      <c r="G90" s="14" t="s">
        <v>371</v>
      </c>
      <c r="H90" s="14" t="s">
        <v>492</v>
      </c>
      <c r="I90" s="16" t="s">
        <v>5</v>
      </c>
      <c r="J90" s="2" t="s">
        <v>6</v>
      </c>
    </row>
    <row r="91" spans="1:10" ht="62.25">
      <c r="A91" s="13" t="s">
        <v>20</v>
      </c>
      <c r="B91" s="14" t="s">
        <v>493</v>
      </c>
      <c r="C91" s="14" t="s">
        <v>489</v>
      </c>
      <c r="D91" s="14" t="s">
        <v>494</v>
      </c>
      <c r="E91" s="14" t="s">
        <v>495</v>
      </c>
      <c r="F91" s="14" t="s">
        <v>376</v>
      </c>
      <c r="G91" s="14" t="s">
        <v>377</v>
      </c>
      <c r="H91" s="14" t="s">
        <v>496</v>
      </c>
      <c r="I91" s="16" t="s">
        <v>5</v>
      </c>
      <c r="J91" s="2" t="s">
        <v>6</v>
      </c>
    </row>
    <row r="92" spans="1:10" ht="45.75">
      <c r="A92" s="13" t="s">
        <v>20</v>
      </c>
      <c r="B92" s="14" t="s">
        <v>497</v>
      </c>
      <c r="C92" s="14" t="s">
        <v>489</v>
      </c>
      <c r="D92" s="14" t="s">
        <v>498</v>
      </c>
      <c r="E92" s="14" t="s">
        <v>495</v>
      </c>
      <c r="F92" s="14" t="s">
        <v>364</v>
      </c>
      <c r="G92" s="14" t="s">
        <v>32</v>
      </c>
      <c r="H92" s="14" t="s">
        <v>499</v>
      </c>
      <c r="I92" s="18" t="s">
        <v>7</v>
      </c>
      <c r="J92" s="2" t="s">
        <v>6</v>
      </c>
    </row>
    <row r="93" spans="1:10" ht="30.75">
      <c r="A93" s="13" t="s">
        <v>20</v>
      </c>
      <c r="B93" s="14" t="s">
        <v>500</v>
      </c>
      <c r="C93" s="14" t="s">
        <v>489</v>
      </c>
      <c r="D93" s="14" t="s">
        <v>501</v>
      </c>
      <c r="E93" s="14" t="s">
        <v>495</v>
      </c>
      <c r="F93" s="14" t="s">
        <v>502</v>
      </c>
      <c r="G93" s="14" t="s">
        <v>32</v>
      </c>
      <c r="H93" s="14" t="s">
        <v>503</v>
      </c>
      <c r="I93" s="18" t="s">
        <v>7</v>
      </c>
      <c r="J93" s="2" t="s">
        <v>6</v>
      </c>
    </row>
    <row r="94" spans="1:10" ht="45.75">
      <c r="A94" s="13" t="s">
        <v>20</v>
      </c>
      <c r="B94" s="14" t="s">
        <v>504</v>
      </c>
      <c r="C94" s="14" t="s">
        <v>505</v>
      </c>
      <c r="D94" s="14" t="s">
        <v>506</v>
      </c>
      <c r="E94" s="14" t="s">
        <v>507</v>
      </c>
      <c r="F94" s="14" t="s">
        <v>508</v>
      </c>
      <c r="G94" s="14" t="s">
        <v>509</v>
      </c>
      <c r="H94" s="14" t="s">
        <v>510</v>
      </c>
      <c r="I94" s="15" t="s">
        <v>11</v>
      </c>
      <c r="J94" s="2" t="s">
        <v>6</v>
      </c>
    </row>
    <row r="95" spans="1:10" ht="91.5">
      <c r="A95" s="13" t="s">
        <v>20</v>
      </c>
      <c r="B95" s="14" t="s">
        <v>511</v>
      </c>
      <c r="C95" s="14" t="s">
        <v>505</v>
      </c>
      <c r="D95" s="14" t="s">
        <v>512</v>
      </c>
      <c r="E95" s="14" t="s">
        <v>513</v>
      </c>
      <c r="F95" s="14" t="s">
        <v>514</v>
      </c>
      <c r="G95" s="14" t="s">
        <v>515</v>
      </c>
      <c r="H95" s="14" t="s">
        <v>516</v>
      </c>
      <c r="I95" s="15" t="s">
        <v>11</v>
      </c>
      <c r="J95" s="2" t="s">
        <v>6</v>
      </c>
    </row>
    <row r="96" spans="1:10" ht="409.6">
      <c r="A96" s="13" t="s">
        <v>20</v>
      </c>
      <c r="B96" s="14" t="s">
        <v>517</v>
      </c>
      <c r="C96" s="14" t="s">
        <v>505</v>
      </c>
      <c r="D96" s="14" t="s">
        <v>518</v>
      </c>
      <c r="E96" s="14" t="s">
        <v>513</v>
      </c>
      <c r="F96" s="14" t="s">
        <v>519</v>
      </c>
      <c r="G96" s="14" t="s">
        <v>32</v>
      </c>
      <c r="H96" s="14" t="s">
        <v>520</v>
      </c>
      <c r="I96" s="17" t="s">
        <v>9</v>
      </c>
      <c r="J96" s="2" t="s">
        <v>6</v>
      </c>
    </row>
    <row r="97" spans="1:10" ht="60.75">
      <c r="A97" s="13" t="s">
        <v>20</v>
      </c>
      <c r="B97" s="14" t="s">
        <v>521</v>
      </c>
      <c r="C97" s="14" t="s">
        <v>505</v>
      </c>
      <c r="D97" s="14" t="s">
        <v>522</v>
      </c>
      <c r="E97" s="14" t="s">
        <v>513</v>
      </c>
      <c r="F97" s="14" t="s">
        <v>523</v>
      </c>
      <c r="G97" s="14" t="s">
        <v>32</v>
      </c>
      <c r="H97" s="14" t="s">
        <v>524</v>
      </c>
      <c r="I97" s="18" t="s">
        <v>7</v>
      </c>
      <c r="J97" s="2" t="s">
        <v>6</v>
      </c>
    </row>
    <row r="98" spans="1:10" ht="45.75">
      <c r="A98" s="13" t="s">
        <v>20</v>
      </c>
      <c r="B98" s="14" t="s">
        <v>525</v>
      </c>
      <c r="C98" s="14" t="s">
        <v>505</v>
      </c>
      <c r="D98" s="14" t="s">
        <v>526</v>
      </c>
      <c r="E98" s="14" t="s">
        <v>513</v>
      </c>
      <c r="F98" s="14" t="s">
        <v>527</v>
      </c>
      <c r="G98" s="14" t="s">
        <v>32</v>
      </c>
      <c r="H98" s="14" t="s">
        <v>528</v>
      </c>
      <c r="I98" s="17" t="s">
        <v>9</v>
      </c>
      <c r="J98" s="2" t="s">
        <v>6</v>
      </c>
    </row>
    <row r="99" spans="1:10" ht="47.25">
      <c r="A99" s="13" t="s">
        <v>20</v>
      </c>
      <c r="B99" s="14" t="s">
        <v>529</v>
      </c>
      <c r="C99" s="14" t="s">
        <v>505</v>
      </c>
      <c r="D99" s="14" t="s">
        <v>530</v>
      </c>
      <c r="E99" s="14" t="s">
        <v>513</v>
      </c>
      <c r="F99" s="14" t="s">
        <v>531</v>
      </c>
      <c r="G99" s="14" t="s">
        <v>32</v>
      </c>
      <c r="H99" s="14" t="s">
        <v>532</v>
      </c>
      <c r="I99" s="16" t="s">
        <v>5</v>
      </c>
      <c r="J99" s="2" t="s">
        <v>6</v>
      </c>
    </row>
    <row r="100" spans="1:10" ht="30.75">
      <c r="A100" s="13" t="s">
        <v>20</v>
      </c>
      <c r="B100" s="14" t="s">
        <v>533</v>
      </c>
      <c r="C100" s="14" t="s">
        <v>505</v>
      </c>
      <c r="D100" s="14" t="s">
        <v>534</v>
      </c>
      <c r="E100" s="14" t="s">
        <v>513</v>
      </c>
      <c r="F100" s="14" t="s">
        <v>535</v>
      </c>
      <c r="G100" s="14" t="s">
        <v>536</v>
      </c>
      <c r="H100" s="14" t="s">
        <v>537</v>
      </c>
      <c r="I100" s="17" t="s">
        <v>9</v>
      </c>
      <c r="J100" s="2" t="s">
        <v>6</v>
      </c>
    </row>
    <row r="101" spans="1:10" ht="60.75">
      <c r="A101" s="13" t="s">
        <v>20</v>
      </c>
      <c r="B101" s="14" t="s">
        <v>538</v>
      </c>
      <c r="C101" s="14" t="s">
        <v>505</v>
      </c>
      <c r="D101" s="14" t="s">
        <v>539</v>
      </c>
      <c r="E101" s="14" t="s">
        <v>540</v>
      </c>
      <c r="F101" s="14" t="s">
        <v>541</v>
      </c>
      <c r="G101" s="14" t="s">
        <v>542</v>
      </c>
      <c r="H101" s="14" t="s">
        <v>543</v>
      </c>
      <c r="I101" s="18" t="s">
        <v>7</v>
      </c>
      <c r="J101" s="2" t="s">
        <v>6</v>
      </c>
    </row>
    <row r="102" spans="1:10" ht="152.25">
      <c r="A102" s="13" t="s">
        <v>20</v>
      </c>
      <c r="B102" s="14" t="s">
        <v>544</v>
      </c>
      <c r="C102" s="14" t="s">
        <v>545</v>
      </c>
      <c r="D102" s="14" t="s">
        <v>546</v>
      </c>
      <c r="E102" s="14" t="s">
        <v>547</v>
      </c>
      <c r="F102" s="14" t="s">
        <v>548</v>
      </c>
      <c r="G102" s="14" t="s">
        <v>549</v>
      </c>
      <c r="H102" s="14" t="s">
        <v>550</v>
      </c>
      <c r="I102" s="15" t="s">
        <v>11</v>
      </c>
      <c r="J102" s="2" t="s">
        <v>6</v>
      </c>
    </row>
    <row r="103" spans="1:10" ht="60.75">
      <c r="A103" s="13" t="s">
        <v>20</v>
      </c>
      <c r="B103" s="14" t="s">
        <v>551</v>
      </c>
      <c r="C103" s="14" t="s">
        <v>545</v>
      </c>
      <c r="D103" s="14" t="s">
        <v>552</v>
      </c>
      <c r="E103" s="14" t="s">
        <v>553</v>
      </c>
      <c r="F103" s="14" t="s">
        <v>554</v>
      </c>
      <c r="G103" s="14" t="s">
        <v>555</v>
      </c>
      <c r="H103" s="14" t="s">
        <v>556</v>
      </c>
      <c r="I103" s="16" t="s">
        <v>5</v>
      </c>
      <c r="J103" s="2" t="s">
        <v>6</v>
      </c>
    </row>
    <row r="104" spans="1:10" ht="45.75">
      <c r="A104" s="13" t="s">
        <v>20</v>
      </c>
      <c r="B104" s="14" t="s">
        <v>557</v>
      </c>
      <c r="C104" s="14" t="s">
        <v>505</v>
      </c>
      <c r="D104" s="14" t="s">
        <v>558</v>
      </c>
      <c r="E104" s="14" t="s">
        <v>559</v>
      </c>
      <c r="F104" s="14" t="s">
        <v>560</v>
      </c>
      <c r="G104" s="14" t="s">
        <v>561</v>
      </c>
      <c r="H104" s="14" t="s">
        <v>562</v>
      </c>
      <c r="I104" s="15" t="s">
        <v>11</v>
      </c>
      <c r="J104" s="2" t="s">
        <v>6</v>
      </c>
    </row>
    <row r="105" spans="1:10" ht="60.75">
      <c r="A105" s="13" t="s">
        <v>20</v>
      </c>
      <c r="B105" s="14" t="s">
        <v>563</v>
      </c>
      <c r="C105" s="14" t="s">
        <v>505</v>
      </c>
      <c r="D105" s="14" t="s">
        <v>564</v>
      </c>
      <c r="E105" s="14" t="s">
        <v>565</v>
      </c>
      <c r="F105" s="14" t="s">
        <v>566</v>
      </c>
      <c r="G105" s="14" t="s">
        <v>567</v>
      </c>
      <c r="H105" s="14" t="s">
        <v>568</v>
      </c>
      <c r="I105" s="15" t="s">
        <v>11</v>
      </c>
      <c r="J105" s="2" t="s">
        <v>6</v>
      </c>
    </row>
    <row r="106" spans="1:10" ht="45.75">
      <c r="A106" s="13" t="s">
        <v>20</v>
      </c>
      <c r="B106" s="14" t="s">
        <v>569</v>
      </c>
      <c r="C106" s="14" t="s">
        <v>505</v>
      </c>
      <c r="D106" s="14" t="s">
        <v>570</v>
      </c>
      <c r="E106" s="14" t="s">
        <v>513</v>
      </c>
      <c r="F106" s="14" t="s">
        <v>571</v>
      </c>
      <c r="G106" s="14" t="s">
        <v>572</v>
      </c>
      <c r="H106" s="14" t="s">
        <v>573</v>
      </c>
      <c r="I106" s="16" t="s">
        <v>5</v>
      </c>
      <c r="J106" s="2" t="s">
        <v>6</v>
      </c>
    </row>
    <row r="107" spans="1:10" ht="45.75">
      <c r="A107" s="13" t="s">
        <v>20</v>
      </c>
      <c r="B107" s="14" t="s">
        <v>574</v>
      </c>
      <c r="C107" s="14" t="s">
        <v>505</v>
      </c>
      <c r="D107" s="14" t="s">
        <v>575</v>
      </c>
      <c r="E107" s="14" t="s">
        <v>576</v>
      </c>
      <c r="F107" s="14" t="s">
        <v>577</v>
      </c>
      <c r="G107" s="14" t="s">
        <v>578</v>
      </c>
      <c r="H107" s="14" t="s">
        <v>579</v>
      </c>
      <c r="I107" s="16" t="s">
        <v>5</v>
      </c>
      <c r="J107" s="2" t="s">
        <v>6</v>
      </c>
    </row>
    <row r="108" spans="1:10" ht="91.5">
      <c r="A108" s="13" t="s">
        <v>20</v>
      </c>
      <c r="B108" s="14" t="s">
        <v>580</v>
      </c>
      <c r="C108" s="14" t="s">
        <v>505</v>
      </c>
      <c r="D108" s="14" t="s">
        <v>581</v>
      </c>
      <c r="E108" s="14" t="s">
        <v>513</v>
      </c>
      <c r="F108" s="14" t="s">
        <v>582</v>
      </c>
      <c r="G108" s="14" t="s">
        <v>32</v>
      </c>
      <c r="H108" s="14" t="s">
        <v>583</v>
      </c>
      <c r="I108" s="16" t="s">
        <v>5</v>
      </c>
      <c r="J108" s="2" t="s">
        <v>6</v>
      </c>
    </row>
    <row r="109" spans="1:10" ht="45.75">
      <c r="A109" s="13" t="s">
        <v>20</v>
      </c>
      <c r="B109" s="14" t="s">
        <v>584</v>
      </c>
      <c r="C109" s="14" t="s">
        <v>505</v>
      </c>
      <c r="D109" s="14" t="s">
        <v>585</v>
      </c>
      <c r="E109" s="14" t="s">
        <v>513</v>
      </c>
      <c r="F109" s="14" t="s">
        <v>586</v>
      </c>
      <c r="G109" s="14" t="s">
        <v>32</v>
      </c>
      <c r="H109" s="14" t="s">
        <v>587</v>
      </c>
      <c r="I109" s="17" t="s">
        <v>9</v>
      </c>
      <c r="J109" s="2" t="s">
        <v>6</v>
      </c>
    </row>
    <row r="110" spans="1:10" ht="45.75">
      <c r="A110" s="13" t="s">
        <v>20</v>
      </c>
      <c r="B110" s="14" t="s">
        <v>588</v>
      </c>
      <c r="C110" s="14" t="s">
        <v>505</v>
      </c>
      <c r="D110" s="14" t="s">
        <v>589</v>
      </c>
      <c r="E110" s="14" t="s">
        <v>513</v>
      </c>
      <c r="F110" s="14" t="s">
        <v>590</v>
      </c>
      <c r="G110" s="14" t="s">
        <v>32</v>
      </c>
      <c r="H110" s="14" t="s">
        <v>591</v>
      </c>
      <c r="I110" s="16" t="s">
        <v>5</v>
      </c>
      <c r="J110" s="2" t="s">
        <v>6</v>
      </c>
    </row>
    <row r="111" spans="1:10" ht="45.75">
      <c r="A111" s="13" t="s">
        <v>20</v>
      </c>
      <c r="B111" s="14" t="s">
        <v>592</v>
      </c>
      <c r="C111" s="14" t="s">
        <v>505</v>
      </c>
      <c r="D111" s="14" t="s">
        <v>593</v>
      </c>
      <c r="E111" s="14" t="s">
        <v>594</v>
      </c>
      <c r="F111" s="14" t="s">
        <v>595</v>
      </c>
      <c r="G111" s="14" t="s">
        <v>32</v>
      </c>
      <c r="H111" s="14" t="s">
        <v>596</v>
      </c>
      <c r="I111" s="17" t="s">
        <v>9</v>
      </c>
      <c r="J111" s="2" t="s">
        <v>6</v>
      </c>
    </row>
    <row r="112" spans="1:10" ht="106.5">
      <c r="A112" s="13" t="s">
        <v>597</v>
      </c>
      <c r="B112" s="14" t="s">
        <v>598</v>
      </c>
      <c r="C112" s="14" t="s">
        <v>22</v>
      </c>
      <c r="D112" s="14" t="s">
        <v>599</v>
      </c>
      <c r="E112" s="14" t="s">
        <v>600</v>
      </c>
      <c r="F112" s="14" t="s">
        <v>601</v>
      </c>
      <c r="G112" s="14" t="s">
        <v>602</v>
      </c>
      <c r="H112" s="14" t="s">
        <v>603</v>
      </c>
      <c r="I112" s="15" t="s">
        <v>11</v>
      </c>
      <c r="J112" s="2" t="s">
        <v>6</v>
      </c>
    </row>
    <row r="113" spans="1:10" ht="45.75">
      <c r="A113" s="13" t="s">
        <v>597</v>
      </c>
      <c r="B113" s="14" t="s">
        <v>604</v>
      </c>
      <c r="C113" s="14" t="s">
        <v>22</v>
      </c>
      <c r="D113" s="14" t="s">
        <v>605</v>
      </c>
      <c r="E113" s="14" t="s">
        <v>30</v>
      </c>
      <c r="F113" s="14" t="s">
        <v>31</v>
      </c>
      <c r="G113" s="14" t="s">
        <v>32</v>
      </c>
      <c r="H113" s="14" t="s">
        <v>606</v>
      </c>
      <c r="I113" s="17" t="s">
        <v>9</v>
      </c>
      <c r="J113" s="2" t="s">
        <v>6</v>
      </c>
    </row>
    <row r="114" spans="1:10" ht="91.5">
      <c r="A114" s="13" t="s">
        <v>597</v>
      </c>
      <c r="B114" s="14" t="s">
        <v>607</v>
      </c>
      <c r="C114" s="14" t="s">
        <v>22</v>
      </c>
      <c r="D114" s="14" t="s">
        <v>35</v>
      </c>
      <c r="E114" s="14" t="s">
        <v>608</v>
      </c>
      <c r="F114" s="14" t="s">
        <v>609</v>
      </c>
      <c r="G114" s="14" t="s">
        <v>610</v>
      </c>
      <c r="H114" s="14" t="s">
        <v>611</v>
      </c>
      <c r="I114" s="16" t="s">
        <v>5</v>
      </c>
      <c r="J114" s="2" t="s">
        <v>6</v>
      </c>
    </row>
    <row r="115" spans="1:10" ht="45.75">
      <c r="A115" s="13" t="s">
        <v>597</v>
      </c>
      <c r="B115" s="14" t="s">
        <v>612</v>
      </c>
      <c r="C115" s="14" t="s">
        <v>22</v>
      </c>
      <c r="D115" s="14" t="s">
        <v>613</v>
      </c>
      <c r="E115" s="14" t="s">
        <v>614</v>
      </c>
      <c r="F115" s="14" t="s">
        <v>43</v>
      </c>
      <c r="G115" s="14" t="s">
        <v>615</v>
      </c>
      <c r="H115" s="14" t="s">
        <v>616</v>
      </c>
      <c r="I115" s="16" t="s">
        <v>5</v>
      </c>
      <c r="J115" s="2" t="s">
        <v>6</v>
      </c>
    </row>
    <row r="116" spans="1:10" ht="30.75">
      <c r="A116" s="13" t="s">
        <v>597</v>
      </c>
      <c r="B116" s="14" t="s">
        <v>617</v>
      </c>
      <c r="C116" s="14" t="s">
        <v>22</v>
      </c>
      <c r="D116" s="14" t="s">
        <v>618</v>
      </c>
      <c r="E116" s="14" t="s">
        <v>48</v>
      </c>
      <c r="F116" s="14" t="s">
        <v>49</v>
      </c>
      <c r="G116" s="14" t="s">
        <v>50</v>
      </c>
      <c r="H116" s="14" t="s">
        <v>619</v>
      </c>
      <c r="I116" s="17" t="s">
        <v>9</v>
      </c>
      <c r="J116" s="2" t="s">
        <v>6</v>
      </c>
    </row>
    <row r="117" spans="1:10" ht="30.75">
      <c r="A117" s="13" t="s">
        <v>597</v>
      </c>
      <c r="B117" s="14" t="s">
        <v>620</v>
      </c>
      <c r="C117" s="14" t="s">
        <v>22</v>
      </c>
      <c r="D117" s="14" t="s">
        <v>621</v>
      </c>
      <c r="E117" s="14" t="s">
        <v>54</v>
      </c>
      <c r="F117" s="14" t="s">
        <v>622</v>
      </c>
      <c r="G117" s="14" t="s">
        <v>56</v>
      </c>
      <c r="H117" s="14" t="s">
        <v>623</v>
      </c>
      <c r="I117" s="18" t="s">
        <v>7</v>
      </c>
      <c r="J117" s="2" t="s">
        <v>6</v>
      </c>
    </row>
    <row r="118" spans="1:10" ht="60.75">
      <c r="A118" s="13" t="s">
        <v>597</v>
      </c>
      <c r="B118" s="14" t="s">
        <v>624</v>
      </c>
      <c r="C118" s="14" t="s">
        <v>22</v>
      </c>
      <c r="D118" s="14" t="s">
        <v>625</v>
      </c>
      <c r="E118" s="14" t="s">
        <v>54</v>
      </c>
      <c r="F118" s="14" t="s">
        <v>626</v>
      </c>
      <c r="G118" s="14" t="s">
        <v>61</v>
      </c>
      <c r="H118" s="14" t="s">
        <v>627</v>
      </c>
      <c r="I118" s="16" t="s">
        <v>5</v>
      </c>
      <c r="J118" s="2" t="s">
        <v>6</v>
      </c>
    </row>
    <row r="119" spans="1:10" ht="60.75">
      <c r="A119" s="13" t="s">
        <v>597</v>
      </c>
      <c r="B119" s="14" t="s">
        <v>628</v>
      </c>
      <c r="C119" s="14" t="s">
        <v>22</v>
      </c>
      <c r="D119" s="14" t="s">
        <v>629</v>
      </c>
      <c r="E119" s="14" t="s">
        <v>630</v>
      </c>
      <c r="F119" s="14" t="s">
        <v>631</v>
      </c>
      <c r="G119" s="14" t="s">
        <v>632</v>
      </c>
      <c r="H119" s="14" t="s">
        <v>633</v>
      </c>
      <c r="I119" s="17" t="s">
        <v>9</v>
      </c>
      <c r="J119" s="2" t="s">
        <v>6</v>
      </c>
    </row>
    <row r="120" spans="1:10" ht="106.5">
      <c r="A120" s="13" t="s">
        <v>597</v>
      </c>
      <c r="B120" s="14" t="s">
        <v>634</v>
      </c>
      <c r="C120" s="14" t="s">
        <v>70</v>
      </c>
      <c r="D120" s="14" t="s">
        <v>635</v>
      </c>
      <c r="E120" s="14" t="s">
        <v>636</v>
      </c>
      <c r="F120" s="14" t="s">
        <v>637</v>
      </c>
      <c r="G120" s="14" t="s">
        <v>638</v>
      </c>
      <c r="H120" s="14" t="s">
        <v>639</v>
      </c>
      <c r="I120" s="15" t="s">
        <v>11</v>
      </c>
      <c r="J120" s="2" t="s">
        <v>6</v>
      </c>
    </row>
    <row r="121" spans="1:10" ht="60.75">
      <c r="A121" s="13" t="s">
        <v>597</v>
      </c>
      <c r="B121" s="14" t="s">
        <v>640</v>
      </c>
      <c r="C121" s="14" t="s">
        <v>70</v>
      </c>
      <c r="D121" s="14" t="s">
        <v>641</v>
      </c>
      <c r="E121" s="14" t="s">
        <v>78</v>
      </c>
      <c r="F121" s="14" t="s">
        <v>79</v>
      </c>
      <c r="G121" s="14" t="s">
        <v>32</v>
      </c>
      <c r="H121" s="14" t="s">
        <v>642</v>
      </c>
      <c r="I121" s="17" t="s">
        <v>9</v>
      </c>
      <c r="J121" s="2" t="s">
        <v>6</v>
      </c>
    </row>
    <row r="122" spans="1:10" ht="30.75">
      <c r="A122" s="13" t="s">
        <v>597</v>
      </c>
      <c r="B122" s="14" t="s">
        <v>643</v>
      </c>
      <c r="C122" s="14" t="s">
        <v>70</v>
      </c>
      <c r="D122" s="14" t="s">
        <v>644</v>
      </c>
      <c r="E122" s="14" t="s">
        <v>83</v>
      </c>
      <c r="F122" s="14" t="s">
        <v>84</v>
      </c>
      <c r="G122" s="14" t="s">
        <v>85</v>
      </c>
      <c r="H122" s="14" t="s">
        <v>645</v>
      </c>
      <c r="I122" s="16" t="s">
        <v>5</v>
      </c>
      <c r="J122" s="2" t="s">
        <v>6</v>
      </c>
    </row>
    <row r="123" spans="1:10" ht="30.75">
      <c r="A123" s="13" t="s">
        <v>597</v>
      </c>
      <c r="B123" s="14" t="s">
        <v>646</v>
      </c>
      <c r="C123" s="14" t="s">
        <v>70</v>
      </c>
      <c r="D123" s="14" t="s">
        <v>88</v>
      </c>
      <c r="E123" s="14" t="s">
        <v>78</v>
      </c>
      <c r="F123" s="14" t="s">
        <v>89</v>
      </c>
      <c r="G123" s="14" t="s">
        <v>90</v>
      </c>
      <c r="H123" s="14" t="s">
        <v>647</v>
      </c>
      <c r="I123" s="16" t="s">
        <v>5</v>
      </c>
      <c r="J123" s="2" t="s">
        <v>6</v>
      </c>
    </row>
    <row r="124" spans="1:10" ht="30.75">
      <c r="A124" s="13" t="s">
        <v>597</v>
      </c>
      <c r="B124" s="14" t="s">
        <v>648</v>
      </c>
      <c r="C124" s="14" t="s">
        <v>70</v>
      </c>
      <c r="D124" s="14" t="s">
        <v>649</v>
      </c>
      <c r="E124" s="14" t="s">
        <v>94</v>
      </c>
      <c r="F124" s="14" t="s">
        <v>650</v>
      </c>
      <c r="G124" s="14" t="s">
        <v>96</v>
      </c>
      <c r="H124" s="14" t="s">
        <v>651</v>
      </c>
      <c r="I124" s="17" t="s">
        <v>9</v>
      </c>
      <c r="J124" s="2" t="s">
        <v>6</v>
      </c>
    </row>
    <row r="125" spans="1:10" ht="30.75">
      <c r="A125" s="13" t="s">
        <v>597</v>
      </c>
      <c r="B125" s="14" t="s">
        <v>652</v>
      </c>
      <c r="C125" s="14" t="s">
        <v>70</v>
      </c>
      <c r="D125" s="14" t="s">
        <v>653</v>
      </c>
      <c r="E125" s="14" t="s">
        <v>78</v>
      </c>
      <c r="F125" s="14" t="s">
        <v>100</v>
      </c>
      <c r="G125" s="14" t="s">
        <v>101</v>
      </c>
      <c r="H125" s="14" t="s">
        <v>654</v>
      </c>
      <c r="I125" s="16" t="s">
        <v>5</v>
      </c>
      <c r="J125" s="2" t="s">
        <v>6</v>
      </c>
    </row>
    <row r="126" spans="1:10" ht="30.75">
      <c r="A126" s="13" t="s">
        <v>597</v>
      </c>
      <c r="B126" s="14" t="s">
        <v>655</v>
      </c>
      <c r="C126" s="14" t="s">
        <v>70</v>
      </c>
      <c r="D126" s="14" t="s">
        <v>104</v>
      </c>
      <c r="E126" s="14" t="s">
        <v>78</v>
      </c>
      <c r="F126" s="14" t="s">
        <v>105</v>
      </c>
      <c r="G126" s="14" t="s">
        <v>106</v>
      </c>
      <c r="H126" s="14" t="s">
        <v>656</v>
      </c>
      <c r="I126" s="17" t="s">
        <v>9</v>
      </c>
      <c r="J126" s="2" t="s">
        <v>6</v>
      </c>
    </row>
    <row r="127" spans="1:10" ht="45.75">
      <c r="A127" s="13" t="s">
        <v>597</v>
      </c>
      <c r="B127" s="14" t="s">
        <v>657</v>
      </c>
      <c r="C127" s="14" t="s">
        <v>70</v>
      </c>
      <c r="D127" s="14" t="s">
        <v>109</v>
      </c>
      <c r="E127" s="14" t="s">
        <v>78</v>
      </c>
      <c r="F127" s="14" t="s">
        <v>658</v>
      </c>
      <c r="G127" s="14" t="s">
        <v>659</v>
      </c>
      <c r="H127" s="14" t="s">
        <v>112</v>
      </c>
      <c r="I127" s="17" t="s">
        <v>9</v>
      </c>
      <c r="J127" s="2" t="s">
        <v>6</v>
      </c>
    </row>
    <row r="128" spans="1:10" ht="30.75">
      <c r="A128" s="13" t="s">
        <v>597</v>
      </c>
      <c r="B128" s="14" t="s">
        <v>660</v>
      </c>
      <c r="C128" s="14" t="s">
        <v>70</v>
      </c>
      <c r="D128" s="14" t="s">
        <v>661</v>
      </c>
      <c r="E128" s="14" t="s">
        <v>78</v>
      </c>
      <c r="F128" s="14" t="s">
        <v>662</v>
      </c>
      <c r="G128" s="14" t="s">
        <v>116</v>
      </c>
      <c r="H128" s="14" t="s">
        <v>663</v>
      </c>
      <c r="I128" s="16" t="s">
        <v>5</v>
      </c>
      <c r="J128" s="2" t="s">
        <v>6</v>
      </c>
    </row>
    <row r="129" spans="1:10" ht="30.75">
      <c r="A129" s="13" t="s">
        <v>597</v>
      </c>
      <c r="B129" s="14" t="s">
        <v>664</v>
      </c>
      <c r="C129" s="14" t="s">
        <v>70</v>
      </c>
      <c r="D129" s="14" t="s">
        <v>665</v>
      </c>
      <c r="E129" s="14" t="s">
        <v>78</v>
      </c>
      <c r="F129" s="14" t="s">
        <v>666</v>
      </c>
      <c r="G129" s="14" t="s">
        <v>121</v>
      </c>
      <c r="H129" s="14" t="s">
        <v>122</v>
      </c>
      <c r="I129" s="16" t="s">
        <v>5</v>
      </c>
      <c r="J129" s="2" t="s">
        <v>6</v>
      </c>
    </row>
    <row r="130" spans="1:10" ht="30.75">
      <c r="A130" s="13" t="s">
        <v>597</v>
      </c>
      <c r="B130" s="14" t="s">
        <v>667</v>
      </c>
      <c r="C130" s="14" t="s">
        <v>70</v>
      </c>
      <c r="D130" s="14" t="s">
        <v>668</v>
      </c>
      <c r="E130" s="14" t="s">
        <v>78</v>
      </c>
      <c r="F130" s="14" t="s">
        <v>669</v>
      </c>
      <c r="G130" s="14" t="s">
        <v>126</v>
      </c>
      <c r="H130" s="14" t="s">
        <v>670</v>
      </c>
      <c r="I130" s="17" t="s">
        <v>9</v>
      </c>
      <c r="J130" s="2" t="s">
        <v>6</v>
      </c>
    </row>
    <row r="131" spans="1:10" ht="30.75">
      <c r="A131" s="13" t="s">
        <v>597</v>
      </c>
      <c r="B131" s="14" t="s">
        <v>671</v>
      </c>
      <c r="C131" s="14" t="s">
        <v>70</v>
      </c>
      <c r="D131" s="14" t="s">
        <v>672</v>
      </c>
      <c r="E131" s="14" t="s">
        <v>673</v>
      </c>
      <c r="F131" s="14" t="s">
        <v>674</v>
      </c>
      <c r="G131" s="14" t="s">
        <v>675</v>
      </c>
      <c r="H131" s="14" t="s">
        <v>676</v>
      </c>
      <c r="I131" s="15" t="s">
        <v>11</v>
      </c>
      <c r="J131" s="2" t="s">
        <v>6</v>
      </c>
    </row>
    <row r="132" spans="1:10" ht="60.75">
      <c r="A132" s="13" t="s">
        <v>597</v>
      </c>
      <c r="B132" s="14" t="s">
        <v>677</v>
      </c>
      <c r="C132" s="14" t="s">
        <v>70</v>
      </c>
      <c r="D132" s="14" t="s">
        <v>678</v>
      </c>
      <c r="E132" s="14" t="s">
        <v>78</v>
      </c>
      <c r="F132" s="14" t="s">
        <v>679</v>
      </c>
      <c r="G132" s="14" t="s">
        <v>680</v>
      </c>
      <c r="H132" s="14" t="s">
        <v>148</v>
      </c>
      <c r="I132" s="15" t="s">
        <v>11</v>
      </c>
      <c r="J132" s="2" t="s">
        <v>6</v>
      </c>
    </row>
    <row r="133" spans="1:10" ht="30.75">
      <c r="A133" s="13" t="s">
        <v>597</v>
      </c>
      <c r="B133" s="14" t="s">
        <v>681</v>
      </c>
      <c r="C133" s="14" t="s">
        <v>70</v>
      </c>
      <c r="D133" s="14" t="s">
        <v>682</v>
      </c>
      <c r="E133" s="14" t="s">
        <v>151</v>
      </c>
      <c r="F133" s="14" t="s">
        <v>683</v>
      </c>
      <c r="G133" s="14" t="s">
        <v>684</v>
      </c>
      <c r="H133" s="14" t="s">
        <v>154</v>
      </c>
      <c r="I133" s="16" t="s">
        <v>5</v>
      </c>
      <c r="J133" s="2" t="s">
        <v>6</v>
      </c>
    </row>
    <row r="134" spans="1:10" ht="45.75">
      <c r="A134" s="13" t="s">
        <v>597</v>
      </c>
      <c r="B134" s="14" t="s">
        <v>685</v>
      </c>
      <c r="C134" s="14" t="s">
        <v>70</v>
      </c>
      <c r="D134" s="14" t="s">
        <v>156</v>
      </c>
      <c r="E134" s="14" t="s">
        <v>151</v>
      </c>
      <c r="F134" s="14" t="s">
        <v>686</v>
      </c>
      <c r="G134" s="14" t="s">
        <v>687</v>
      </c>
      <c r="H134" s="14" t="s">
        <v>688</v>
      </c>
      <c r="I134" s="18" t="s">
        <v>7</v>
      </c>
      <c r="J134" s="2" t="s">
        <v>6</v>
      </c>
    </row>
    <row r="135" spans="1:10" ht="45.75">
      <c r="A135" s="13" t="s">
        <v>597</v>
      </c>
      <c r="B135" s="14" t="s">
        <v>689</v>
      </c>
      <c r="C135" s="14" t="s">
        <v>70</v>
      </c>
      <c r="D135" s="14" t="s">
        <v>161</v>
      </c>
      <c r="E135" s="14" t="s">
        <v>78</v>
      </c>
      <c r="F135" s="14" t="s">
        <v>690</v>
      </c>
      <c r="G135" s="14" t="s">
        <v>163</v>
      </c>
      <c r="H135" s="14" t="s">
        <v>691</v>
      </c>
      <c r="I135" s="16" t="s">
        <v>5</v>
      </c>
      <c r="J135" s="2" t="s">
        <v>6</v>
      </c>
    </row>
    <row r="136" spans="1:10" ht="30.75">
      <c r="A136" s="13" t="s">
        <v>597</v>
      </c>
      <c r="B136" s="14" t="s">
        <v>692</v>
      </c>
      <c r="C136" s="14" t="s">
        <v>70</v>
      </c>
      <c r="D136" s="14" t="s">
        <v>693</v>
      </c>
      <c r="E136" s="14" t="s">
        <v>78</v>
      </c>
      <c r="F136" s="14" t="s">
        <v>167</v>
      </c>
      <c r="G136" s="14" t="s">
        <v>168</v>
      </c>
      <c r="H136" s="14" t="s">
        <v>169</v>
      </c>
      <c r="I136" s="17" t="s">
        <v>9</v>
      </c>
      <c r="J136" s="2" t="s">
        <v>6</v>
      </c>
    </row>
    <row r="137" spans="1:10" ht="62.25">
      <c r="A137" s="13" t="s">
        <v>597</v>
      </c>
      <c r="B137" s="14" t="s">
        <v>694</v>
      </c>
      <c r="C137" s="14" t="s">
        <v>70</v>
      </c>
      <c r="D137" s="14" t="s">
        <v>695</v>
      </c>
      <c r="E137" s="14" t="s">
        <v>78</v>
      </c>
      <c r="F137" s="14" t="s">
        <v>696</v>
      </c>
      <c r="G137" s="14" t="s">
        <v>173</v>
      </c>
      <c r="H137" s="14" t="s">
        <v>697</v>
      </c>
      <c r="I137" s="17" t="s">
        <v>9</v>
      </c>
      <c r="J137" s="2" t="s">
        <v>6</v>
      </c>
    </row>
    <row r="138" spans="1:10" ht="30.75">
      <c r="A138" s="13" t="s">
        <v>597</v>
      </c>
      <c r="B138" s="14" t="s">
        <v>698</v>
      </c>
      <c r="C138" s="14" t="s">
        <v>70</v>
      </c>
      <c r="D138" s="14" t="s">
        <v>699</v>
      </c>
      <c r="E138" s="14" t="s">
        <v>78</v>
      </c>
      <c r="F138" s="14" t="s">
        <v>177</v>
      </c>
      <c r="G138" s="14" t="s">
        <v>178</v>
      </c>
      <c r="H138" s="14" t="s">
        <v>700</v>
      </c>
      <c r="I138" s="16" t="s">
        <v>5</v>
      </c>
      <c r="J138" s="2" t="s">
        <v>6</v>
      </c>
    </row>
    <row r="139" spans="1:10" ht="30.75">
      <c r="A139" s="13" t="s">
        <v>597</v>
      </c>
      <c r="B139" s="14" t="s">
        <v>701</v>
      </c>
      <c r="C139" s="14" t="s">
        <v>70</v>
      </c>
      <c r="D139" s="14" t="s">
        <v>702</v>
      </c>
      <c r="E139" s="14" t="s">
        <v>78</v>
      </c>
      <c r="F139" s="14" t="s">
        <v>182</v>
      </c>
      <c r="G139" s="14" t="s">
        <v>32</v>
      </c>
      <c r="H139" s="14" t="s">
        <v>703</v>
      </c>
      <c r="I139" s="18" t="s">
        <v>7</v>
      </c>
      <c r="J139" s="2" t="s">
        <v>6</v>
      </c>
    </row>
    <row r="140" spans="1:10" ht="76.5">
      <c r="A140" s="13" t="s">
        <v>597</v>
      </c>
      <c r="B140" s="14" t="s">
        <v>704</v>
      </c>
      <c r="C140" s="14" t="s">
        <v>70</v>
      </c>
      <c r="D140" s="14" t="s">
        <v>705</v>
      </c>
      <c r="E140" s="14" t="s">
        <v>78</v>
      </c>
      <c r="F140" s="14" t="s">
        <v>706</v>
      </c>
      <c r="G140" s="14" t="s">
        <v>707</v>
      </c>
      <c r="H140" s="14" t="s">
        <v>708</v>
      </c>
      <c r="I140" s="15" t="s">
        <v>11</v>
      </c>
      <c r="J140" s="2" t="s">
        <v>6</v>
      </c>
    </row>
    <row r="141" spans="1:10" ht="30.75">
      <c r="A141" s="13" t="s">
        <v>597</v>
      </c>
      <c r="B141" s="14" t="s">
        <v>709</v>
      </c>
      <c r="C141" s="14" t="s">
        <v>70</v>
      </c>
      <c r="D141" s="14" t="s">
        <v>190</v>
      </c>
      <c r="E141" s="14" t="s">
        <v>83</v>
      </c>
      <c r="F141" s="14" t="s">
        <v>710</v>
      </c>
      <c r="G141" s="14" t="s">
        <v>192</v>
      </c>
      <c r="H141" s="14" t="s">
        <v>711</v>
      </c>
      <c r="I141" s="16" t="s">
        <v>5</v>
      </c>
      <c r="J141" s="2" t="s">
        <v>6</v>
      </c>
    </row>
    <row r="142" spans="1:10" ht="30.75">
      <c r="A142" s="13" t="s">
        <v>597</v>
      </c>
      <c r="B142" s="14" t="s">
        <v>712</v>
      </c>
      <c r="C142" s="14" t="s">
        <v>70</v>
      </c>
      <c r="D142" s="14" t="s">
        <v>195</v>
      </c>
      <c r="E142" s="14" t="s">
        <v>713</v>
      </c>
      <c r="F142" s="14" t="s">
        <v>197</v>
      </c>
      <c r="G142" s="14" t="s">
        <v>198</v>
      </c>
      <c r="H142" s="14" t="s">
        <v>199</v>
      </c>
      <c r="I142" s="18" t="s">
        <v>7</v>
      </c>
      <c r="J142" s="2" t="s">
        <v>6</v>
      </c>
    </row>
    <row r="143" spans="1:10" ht="30.75">
      <c r="A143" s="13" t="s">
        <v>597</v>
      </c>
      <c r="B143" s="14" t="s">
        <v>714</v>
      </c>
      <c r="C143" s="14" t="s">
        <v>70</v>
      </c>
      <c r="D143" s="14" t="s">
        <v>201</v>
      </c>
      <c r="E143" s="14" t="s">
        <v>78</v>
      </c>
      <c r="F143" s="14" t="s">
        <v>202</v>
      </c>
      <c r="G143" s="14" t="s">
        <v>203</v>
      </c>
      <c r="H143" s="14" t="s">
        <v>204</v>
      </c>
      <c r="I143" s="17" t="s">
        <v>9</v>
      </c>
      <c r="J143" s="2" t="s">
        <v>6</v>
      </c>
    </row>
    <row r="144" spans="1:10" ht="30.75">
      <c r="A144" s="13" t="s">
        <v>597</v>
      </c>
      <c r="B144" s="14" t="s">
        <v>715</v>
      </c>
      <c r="C144" s="14" t="s">
        <v>70</v>
      </c>
      <c r="D144" s="14" t="s">
        <v>716</v>
      </c>
      <c r="E144" s="14" t="s">
        <v>78</v>
      </c>
      <c r="F144" s="14" t="s">
        <v>207</v>
      </c>
      <c r="G144" s="14" t="s">
        <v>208</v>
      </c>
      <c r="H144" s="14" t="s">
        <v>717</v>
      </c>
      <c r="I144" s="17" t="s">
        <v>9</v>
      </c>
      <c r="J144" s="2" t="s">
        <v>6</v>
      </c>
    </row>
    <row r="145" spans="1:10" ht="30.75">
      <c r="A145" s="13" t="s">
        <v>597</v>
      </c>
      <c r="B145" s="14" t="s">
        <v>718</v>
      </c>
      <c r="C145" s="14" t="s">
        <v>70</v>
      </c>
      <c r="D145" s="14" t="s">
        <v>719</v>
      </c>
      <c r="E145" s="14" t="s">
        <v>78</v>
      </c>
      <c r="F145" s="14" t="s">
        <v>212</v>
      </c>
      <c r="G145" s="14" t="s">
        <v>213</v>
      </c>
      <c r="H145" s="14" t="s">
        <v>214</v>
      </c>
      <c r="I145" s="18" t="s">
        <v>7</v>
      </c>
      <c r="J145" s="2" t="s">
        <v>6</v>
      </c>
    </row>
    <row r="146" spans="1:10" ht="45.75">
      <c r="A146" s="13" t="s">
        <v>597</v>
      </c>
      <c r="B146" s="14" t="s">
        <v>720</v>
      </c>
      <c r="C146" s="14" t="s">
        <v>70</v>
      </c>
      <c r="D146" s="14" t="s">
        <v>721</v>
      </c>
      <c r="E146" s="14" t="s">
        <v>83</v>
      </c>
      <c r="F146" s="14" t="s">
        <v>722</v>
      </c>
      <c r="G146" s="14" t="s">
        <v>218</v>
      </c>
      <c r="H146" s="14" t="s">
        <v>723</v>
      </c>
      <c r="I146" s="16" t="s">
        <v>5</v>
      </c>
      <c r="J146" s="2" t="s">
        <v>6</v>
      </c>
    </row>
    <row r="147" spans="1:10" ht="183">
      <c r="A147" s="13" t="s">
        <v>597</v>
      </c>
      <c r="B147" s="14" t="s">
        <v>724</v>
      </c>
      <c r="C147" s="14" t="s">
        <v>221</v>
      </c>
      <c r="D147" s="14" t="s">
        <v>725</v>
      </c>
      <c r="E147" s="14" t="s">
        <v>726</v>
      </c>
      <c r="F147" s="14" t="s">
        <v>727</v>
      </c>
      <c r="G147" s="14" t="s">
        <v>728</v>
      </c>
      <c r="H147" s="14" t="s">
        <v>729</v>
      </c>
      <c r="I147" s="15" t="s">
        <v>11</v>
      </c>
      <c r="J147" s="2" t="s">
        <v>6</v>
      </c>
    </row>
    <row r="148" spans="1:10" ht="137.25">
      <c r="A148" s="13" t="s">
        <v>597</v>
      </c>
      <c r="B148" s="14" t="s">
        <v>730</v>
      </c>
      <c r="C148" s="14" t="s">
        <v>221</v>
      </c>
      <c r="D148" s="14" t="s">
        <v>731</v>
      </c>
      <c r="E148" s="14" t="s">
        <v>229</v>
      </c>
      <c r="F148" s="14" t="s">
        <v>230</v>
      </c>
      <c r="G148" s="14" t="s">
        <v>32</v>
      </c>
      <c r="H148" s="14" t="s">
        <v>231</v>
      </c>
      <c r="I148" s="17" t="s">
        <v>9</v>
      </c>
      <c r="J148" s="2" t="s">
        <v>6</v>
      </c>
    </row>
    <row r="149" spans="1:10" ht="30.75">
      <c r="A149" s="13" t="s">
        <v>597</v>
      </c>
      <c r="B149" s="14" t="s">
        <v>732</v>
      </c>
      <c r="C149" s="14" t="s">
        <v>221</v>
      </c>
      <c r="D149" s="14" t="s">
        <v>233</v>
      </c>
      <c r="E149" s="14" t="s">
        <v>229</v>
      </c>
      <c r="F149" s="14" t="s">
        <v>733</v>
      </c>
      <c r="G149" s="14" t="s">
        <v>235</v>
      </c>
      <c r="H149" s="14" t="s">
        <v>734</v>
      </c>
      <c r="I149" s="16" t="s">
        <v>5</v>
      </c>
      <c r="J149" s="2" t="s">
        <v>6</v>
      </c>
    </row>
    <row r="150" spans="1:10" ht="30.75">
      <c r="A150" s="13" t="s">
        <v>597</v>
      </c>
      <c r="B150" s="14" t="s">
        <v>735</v>
      </c>
      <c r="C150" s="14" t="s">
        <v>221</v>
      </c>
      <c r="D150" s="14" t="s">
        <v>736</v>
      </c>
      <c r="E150" s="14" t="s">
        <v>229</v>
      </c>
      <c r="F150" s="14" t="s">
        <v>239</v>
      </c>
      <c r="G150" s="14" t="s">
        <v>32</v>
      </c>
      <c r="H150" s="14" t="s">
        <v>737</v>
      </c>
      <c r="I150" s="16" t="s">
        <v>5</v>
      </c>
      <c r="J150" s="2" t="s">
        <v>6</v>
      </c>
    </row>
    <row r="151" spans="1:10" ht="30.75">
      <c r="A151" s="13" t="s">
        <v>597</v>
      </c>
      <c r="B151" s="14" t="s">
        <v>738</v>
      </c>
      <c r="C151" s="14" t="s">
        <v>221</v>
      </c>
      <c r="D151" s="14" t="s">
        <v>739</v>
      </c>
      <c r="E151" s="14" t="s">
        <v>229</v>
      </c>
      <c r="F151" s="14" t="s">
        <v>243</v>
      </c>
      <c r="G151" s="14" t="s">
        <v>244</v>
      </c>
      <c r="H151" s="14" t="s">
        <v>700</v>
      </c>
      <c r="I151" s="16" t="s">
        <v>5</v>
      </c>
      <c r="J151" s="2" t="s">
        <v>6</v>
      </c>
    </row>
    <row r="152" spans="1:10" ht="45.75">
      <c r="A152" s="13" t="s">
        <v>597</v>
      </c>
      <c r="B152" s="14" t="s">
        <v>740</v>
      </c>
      <c r="C152" s="14" t="s">
        <v>221</v>
      </c>
      <c r="D152" s="14" t="s">
        <v>741</v>
      </c>
      <c r="E152" s="14" t="s">
        <v>229</v>
      </c>
      <c r="F152" s="14" t="s">
        <v>247</v>
      </c>
      <c r="G152" s="14" t="s">
        <v>248</v>
      </c>
      <c r="H152" s="14" t="s">
        <v>742</v>
      </c>
      <c r="I152" s="16" t="s">
        <v>5</v>
      </c>
      <c r="J152" s="2" t="s">
        <v>6</v>
      </c>
    </row>
    <row r="153" spans="1:10" ht="30.75">
      <c r="A153" s="13" t="s">
        <v>597</v>
      </c>
      <c r="B153" s="14" t="s">
        <v>743</v>
      </c>
      <c r="C153" s="14" t="s">
        <v>221</v>
      </c>
      <c r="D153" s="14" t="s">
        <v>251</v>
      </c>
      <c r="E153" s="14" t="s">
        <v>229</v>
      </c>
      <c r="F153" s="14" t="s">
        <v>744</v>
      </c>
      <c r="G153" s="14" t="s">
        <v>253</v>
      </c>
      <c r="H153" s="14" t="s">
        <v>745</v>
      </c>
      <c r="I153" s="17" t="s">
        <v>9</v>
      </c>
      <c r="J153" s="2" t="s">
        <v>6</v>
      </c>
    </row>
    <row r="154" spans="1:10" ht="30.75">
      <c r="A154" s="13" t="s">
        <v>597</v>
      </c>
      <c r="B154" s="14" t="s">
        <v>746</v>
      </c>
      <c r="C154" s="14" t="s">
        <v>221</v>
      </c>
      <c r="D154" s="14" t="s">
        <v>256</v>
      </c>
      <c r="E154" s="14" t="s">
        <v>229</v>
      </c>
      <c r="F154" s="14" t="s">
        <v>747</v>
      </c>
      <c r="G154" s="14" t="s">
        <v>258</v>
      </c>
      <c r="H154" s="14" t="s">
        <v>748</v>
      </c>
      <c r="I154" s="17" t="s">
        <v>9</v>
      </c>
      <c r="J154" s="2" t="s">
        <v>6</v>
      </c>
    </row>
    <row r="155" spans="1:10" ht="30.75">
      <c r="A155" s="13" t="s">
        <v>597</v>
      </c>
      <c r="B155" s="14" t="s">
        <v>749</v>
      </c>
      <c r="C155" s="14" t="s">
        <v>221</v>
      </c>
      <c r="D155" s="14" t="s">
        <v>261</v>
      </c>
      <c r="E155" s="14" t="s">
        <v>229</v>
      </c>
      <c r="F155" s="14" t="s">
        <v>750</v>
      </c>
      <c r="G155" s="14" t="s">
        <v>263</v>
      </c>
      <c r="H155" s="14" t="s">
        <v>751</v>
      </c>
      <c r="I155" s="17" t="s">
        <v>9</v>
      </c>
      <c r="J155" s="2" t="s">
        <v>6</v>
      </c>
    </row>
    <row r="156" spans="1:10" ht="30.75">
      <c r="A156" s="13" t="s">
        <v>597</v>
      </c>
      <c r="B156" s="14" t="s">
        <v>752</v>
      </c>
      <c r="C156" s="14" t="s">
        <v>221</v>
      </c>
      <c r="D156" s="14" t="s">
        <v>266</v>
      </c>
      <c r="E156" s="14" t="s">
        <v>229</v>
      </c>
      <c r="F156" s="14" t="s">
        <v>753</v>
      </c>
      <c r="G156" s="14" t="s">
        <v>268</v>
      </c>
      <c r="H156" s="14" t="s">
        <v>754</v>
      </c>
      <c r="I156" s="18" t="s">
        <v>7</v>
      </c>
      <c r="J156" s="2" t="s">
        <v>6</v>
      </c>
    </row>
    <row r="157" spans="1:10" ht="30.75">
      <c r="A157" s="13" t="s">
        <v>597</v>
      </c>
      <c r="B157" s="14" t="s">
        <v>755</v>
      </c>
      <c r="C157" s="14" t="s">
        <v>221</v>
      </c>
      <c r="D157" s="14" t="s">
        <v>271</v>
      </c>
      <c r="E157" s="14" t="s">
        <v>229</v>
      </c>
      <c r="F157" s="14" t="s">
        <v>272</v>
      </c>
      <c r="G157" s="14" t="s">
        <v>273</v>
      </c>
      <c r="H157" s="14" t="s">
        <v>274</v>
      </c>
      <c r="I157" s="17" t="s">
        <v>9</v>
      </c>
      <c r="J157" s="2" t="s">
        <v>6</v>
      </c>
    </row>
    <row r="158" spans="1:10" ht="45.75">
      <c r="A158" s="13" t="s">
        <v>597</v>
      </c>
      <c r="B158" s="14" t="s">
        <v>756</v>
      </c>
      <c r="C158" s="14" t="s">
        <v>221</v>
      </c>
      <c r="D158" s="14" t="s">
        <v>276</v>
      </c>
      <c r="E158" s="14" t="s">
        <v>229</v>
      </c>
      <c r="F158" s="14" t="s">
        <v>757</v>
      </c>
      <c r="G158" s="14" t="s">
        <v>278</v>
      </c>
      <c r="H158" s="14" t="s">
        <v>279</v>
      </c>
      <c r="I158" s="18" t="s">
        <v>7</v>
      </c>
      <c r="J158" s="2" t="s">
        <v>6</v>
      </c>
    </row>
    <row r="159" spans="1:10" ht="60.75">
      <c r="A159" s="13" t="s">
        <v>597</v>
      </c>
      <c r="B159" s="14" t="s">
        <v>758</v>
      </c>
      <c r="C159" s="14" t="s">
        <v>221</v>
      </c>
      <c r="D159" s="14" t="s">
        <v>281</v>
      </c>
      <c r="E159" s="14" t="s">
        <v>282</v>
      </c>
      <c r="F159" s="14" t="s">
        <v>759</v>
      </c>
      <c r="G159" s="14" t="s">
        <v>263</v>
      </c>
      <c r="H159" s="14" t="s">
        <v>760</v>
      </c>
      <c r="I159" s="16" t="s">
        <v>5</v>
      </c>
      <c r="J159" s="2" t="s">
        <v>6</v>
      </c>
    </row>
    <row r="160" spans="1:10" ht="45.75">
      <c r="A160" s="13" t="s">
        <v>597</v>
      </c>
      <c r="B160" s="14" t="s">
        <v>761</v>
      </c>
      <c r="C160" s="14" t="s">
        <v>221</v>
      </c>
      <c r="D160" s="14" t="s">
        <v>286</v>
      </c>
      <c r="E160" s="14" t="s">
        <v>762</v>
      </c>
      <c r="F160" s="14" t="s">
        <v>288</v>
      </c>
      <c r="G160" s="14" t="s">
        <v>258</v>
      </c>
      <c r="H160" s="14" t="s">
        <v>763</v>
      </c>
      <c r="I160" s="17" t="s">
        <v>9</v>
      </c>
      <c r="J160" s="2" t="s">
        <v>6</v>
      </c>
    </row>
    <row r="161" spans="1:10" ht="45.75">
      <c r="A161" s="13" t="s">
        <v>597</v>
      </c>
      <c r="B161" s="14" t="s">
        <v>764</v>
      </c>
      <c r="C161" s="14" t="s">
        <v>221</v>
      </c>
      <c r="D161" s="14" t="s">
        <v>765</v>
      </c>
      <c r="E161" s="14" t="s">
        <v>292</v>
      </c>
      <c r="F161" s="14" t="s">
        <v>293</v>
      </c>
      <c r="G161" s="14" t="s">
        <v>294</v>
      </c>
      <c r="H161" s="14" t="s">
        <v>766</v>
      </c>
      <c r="I161" s="16" t="s">
        <v>5</v>
      </c>
      <c r="J161" s="2" t="s">
        <v>6</v>
      </c>
    </row>
    <row r="162" spans="1:10" ht="45.75">
      <c r="A162" s="13" t="s">
        <v>597</v>
      </c>
      <c r="B162" s="14" t="s">
        <v>767</v>
      </c>
      <c r="C162" s="14" t="s">
        <v>505</v>
      </c>
      <c r="D162" s="14" t="s">
        <v>768</v>
      </c>
      <c r="E162" s="14" t="s">
        <v>769</v>
      </c>
      <c r="F162" s="14" t="s">
        <v>770</v>
      </c>
      <c r="G162" s="14" t="s">
        <v>509</v>
      </c>
      <c r="H162" s="14" t="s">
        <v>771</v>
      </c>
      <c r="I162" s="15" t="s">
        <v>11</v>
      </c>
      <c r="J162" s="2" t="s">
        <v>6</v>
      </c>
    </row>
    <row r="163" spans="1:10" ht="30.75">
      <c r="A163" s="13" t="s">
        <v>597</v>
      </c>
      <c r="B163" s="14" t="s">
        <v>772</v>
      </c>
      <c r="C163" s="14" t="s">
        <v>505</v>
      </c>
      <c r="D163" s="14" t="s">
        <v>773</v>
      </c>
      <c r="E163" s="14" t="s">
        <v>513</v>
      </c>
      <c r="F163" s="14" t="s">
        <v>774</v>
      </c>
      <c r="G163" s="14" t="s">
        <v>515</v>
      </c>
      <c r="H163" s="14" t="s">
        <v>775</v>
      </c>
      <c r="I163" s="15" t="s">
        <v>11</v>
      </c>
      <c r="J163" s="2" t="s">
        <v>6</v>
      </c>
    </row>
    <row r="164" spans="1:10" ht="409.6">
      <c r="A164" s="13" t="s">
        <v>597</v>
      </c>
      <c r="B164" s="14" t="s">
        <v>776</v>
      </c>
      <c r="C164" s="14" t="s">
        <v>505</v>
      </c>
      <c r="D164" s="14" t="s">
        <v>518</v>
      </c>
      <c r="E164" s="14" t="s">
        <v>513</v>
      </c>
      <c r="F164" s="14" t="s">
        <v>777</v>
      </c>
      <c r="G164" s="14" t="s">
        <v>32</v>
      </c>
      <c r="H164" s="14" t="s">
        <v>778</v>
      </c>
      <c r="I164" s="17" t="s">
        <v>9</v>
      </c>
      <c r="J164" s="2" t="s">
        <v>6</v>
      </c>
    </row>
    <row r="165" spans="1:10" ht="60.75">
      <c r="A165" s="13" t="s">
        <v>597</v>
      </c>
      <c r="B165" s="14" t="s">
        <v>779</v>
      </c>
      <c r="C165" s="14" t="s">
        <v>505</v>
      </c>
      <c r="D165" s="14" t="s">
        <v>780</v>
      </c>
      <c r="E165" s="14" t="s">
        <v>513</v>
      </c>
      <c r="F165" s="14" t="s">
        <v>523</v>
      </c>
      <c r="G165" s="14" t="s">
        <v>32</v>
      </c>
      <c r="H165" s="14" t="s">
        <v>524</v>
      </c>
      <c r="I165" s="18" t="s">
        <v>7</v>
      </c>
      <c r="J165" s="2" t="s">
        <v>6</v>
      </c>
    </row>
    <row r="166" spans="1:10" ht="45.75">
      <c r="A166" s="13" t="s">
        <v>597</v>
      </c>
      <c r="B166" s="14" t="s">
        <v>781</v>
      </c>
      <c r="C166" s="14" t="s">
        <v>505</v>
      </c>
      <c r="D166" s="14" t="s">
        <v>782</v>
      </c>
      <c r="E166" s="14" t="s">
        <v>513</v>
      </c>
      <c r="F166" s="14" t="s">
        <v>783</v>
      </c>
      <c r="G166" s="14" t="s">
        <v>32</v>
      </c>
      <c r="H166" s="14" t="s">
        <v>784</v>
      </c>
      <c r="I166" s="17" t="s">
        <v>9</v>
      </c>
      <c r="J166" s="2" t="s">
        <v>6</v>
      </c>
    </row>
    <row r="167" spans="1:10" ht="32.25">
      <c r="A167" s="13" t="s">
        <v>597</v>
      </c>
      <c r="B167" s="14" t="s">
        <v>785</v>
      </c>
      <c r="C167" s="14" t="s">
        <v>505</v>
      </c>
      <c r="D167" s="14" t="s">
        <v>786</v>
      </c>
      <c r="E167" s="14" t="s">
        <v>513</v>
      </c>
      <c r="F167" s="14" t="s">
        <v>531</v>
      </c>
      <c r="G167" s="14" t="s">
        <v>32</v>
      </c>
      <c r="H167" s="14" t="s">
        <v>787</v>
      </c>
      <c r="I167" s="16" t="s">
        <v>5</v>
      </c>
      <c r="J167" s="2" t="s">
        <v>6</v>
      </c>
    </row>
    <row r="168" spans="1:10" ht="30.75">
      <c r="A168" s="13" t="s">
        <v>597</v>
      </c>
      <c r="B168" s="14" t="s">
        <v>788</v>
      </c>
      <c r="C168" s="14" t="s">
        <v>505</v>
      </c>
      <c r="D168" s="14" t="s">
        <v>789</v>
      </c>
      <c r="E168" s="14" t="s">
        <v>513</v>
      </c>
      <c r="F168" s="14" t="s">
        <v>535</v>
      </c>
      <c r="G168" s="14" t="s">
        <v>536</v>
      </c>
      <c r="H168" s="14" t="s">
        <v>790</v>
      </c>
      <c r="I168" s="17" t="s">
        <v>9</v>
      </c>
      <c r="J168" s="2" t="s">
        <v>6</v>
      </c>
    </row>
    <row r="169" spans="1:10" ht="30.75">
      <c r="A169" s="13" t="s">
        <v>597</v>
      </c>
      <c r="B169" s="14" t="s">
        <v>791</v>
      </c>
      <c r="C169" s="14" t="s">
        <v>505</v>
      </c>
      <c r="D169" s="14" t="s">
        <v>792</v>
      </c>
      <c r="E169" s="14" t="s">
        <v>540</v>
      </c>
      <c r="F169" s="14" t="s">
        <v>541</v>
      </c>
      <c r="G169" s="14" t="s">
        <v>542</v>
      </c>
      <c r="H169" s="14" t="s">
        <v>793</v>
      </c>
      <c r="I169" s="18" t="s">
        <v>7</v>
      </c>
      <c r="J169" s="2" t="s">
        <v>6</v>
      </c>
    </row>
    <row r="170" spans="1:10" ht="60.75">
      <c r="A170" s="13" t="s">
        <v>597</v>
      </c>
      <c r="B170" s="14" t="s">
        <v>794</v>
      </c>
      <c r="C170" s="14" t="s">
        <v>505</v>
      </c>
      <c r="D170" s="14" t="s">
        <v>795</v>
      </c>
      <c r="E170" s="14" t="s">
        <v>565</v>
      </c>
      <c r="F170" s="14" t="s">
        <v>796</v>
      </c>
      <c r="G170" s="14" t="s">
        <v>797</v>
      </c>
      <c r="H170" s="14" t="s">
        <v>798</v>
      </c>
      <c r="I170" s="16" t="s">
        <v>5</v>
      </c>
      <c r="J170" s="2" t="s">
        <v>6</v>
      </c>
    </row>
    <row r="171" spans="1:10" ht="91.5">
      <c r="A171" s="13" t="s">
        <v>597</v>
      </c>
      <c r="B171" s="14" t="s">
        <v>799</v>
      </c>
      <c r="C171" s="14" t="s">
        <v>505</v>
      </c>
      <c r="D171" s="14" t="s">
        <v>800</v>
      </c>
      <c r="E171" s="14" t="s">
        <v>513</v>
      </c>
      <c r="F171" s="14" t="s">
        <v>582</v>
      </c>
      <c r="G171" s="14" t="s">
        <v>32</v>
      </c>
      <c r="H171" s="14" t="s">
        <v>801</v>
      </c>
      <c r="I171" s="16" t="s">
        <v>5</v>
      </c>
      <c r="J171" s="2" t="s">
        <v>6</v>
      </c>
    </row>
    <row r="172" spans="1:10" ht="91.5">
      <c r="A172" s="13" t="s">
        <v>597</v>
      </c>
      <c r="B172" s="14" t="s">
        <v>802</v>
      </c>
      <c r="C172" s="14" t="s">
        <v>545</v>
      </c>
      <c r="D172" s="14" t="s">
        <v>803</v>
      </c>
      <c r="E172" s="14" t="s">
        <v>804</v>
      </c>
      <c r="F172" s="14" t="s">
        <v>805</v>
      </c>
      <c r="G172" s="14" t="s">
        <v>806</v>
      </c>
      <c r="H172" s="14" t="s">
        <v>807</v>
      </c>
      <c r="I172" s="15" t="s">
        <v>11</v>
      </c>
      <c r="J172" s="2" t="s">
        <v>6</v>
      </c>
    </row>
    <row r="173" spans="1:10" ht="60.75">
      <c r="A173" s="13" t="s">
        <v>597</v>
      </c>
      <c r="B173" s="14" t="s">
        <v>808</v>
      </c>
      <c r="C173" s="14" t="s">
        <v>545</v>
      </c>
      <c r="D173" s="14" t="s">
        <v>552</v>
      </c>
      <c r="E173" s="14" t="s">
        <v>809</v>
      </c>
      <c r="F173" s="14" t="s">
        <v>810</v>
      </c>
      <c r="G173" s="14" t="s">
        <v>811</v>
      </c>
      <c r="H173" s="14" t="s">
        <v>812</v>
      </c>
      <c r="I173" s="16" t="s">
        <v>5</v>
      </c>
      <c r="J173" s="2" t="s">
        <v>6</v>
      </c>
    </row>
  </sheetData>
  <autoFilter ref="A1:I173" xr:uid="{FAF77878-85A7-462C-8B53-EFDBB62638C7}"/>
  <dataValidations count="1">
    <dataValidation type="list" allowBlank="1" showInputMessage="1" showErrorMessage="1" sqref="J2:J173" xr:uid="{656AB21C-8305-4BF0-83DC-30CD16AC8F83}">
      <formula1>"Passed, Failed"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Do</dc:creator>
  <cp:keywords/>
  <dc:description/>
  <cp:lastModifiedBy>Maya Do</cp:lastModifiedBy>
  <cp:revision/>
  <dcterms:created xsi:type="dcterms:W3CDTF">2026-06-23T11:09:12Z</dcterms:created>
  <dcterms:modified xsi:type="dcterms:W3CDTF">2026-06-25T09:00:36Z</dcterms:modified>
  <cp:category/>
  <cp:contentStatus/>
</cp:coreProperties>
</file>