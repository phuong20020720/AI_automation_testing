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ppacdtsource-my.sharepoint.com/personal/maya_do_ppac_co_uk/Documents/Automation/PPAC Automation for QC - Github repo/ppac-v2.0-ai-automation-for-qc/knowledge-base/app/Testcase/keltbray_onboarding/"/>
    </mc:Choice>
  </mc:AlternateContent>
  <xr:revisionPtr revIDLastSave="39" documentId="8_{5EB3B99C-57F4-4BB5-9800-2BFB5210A45C}" xr6:coauthVersionLast="47" xr6:coauthVersionMax="47" xr10:uidLastSave="{6CE8912A-A336-45F7-918D-42B0856BC41E}"/>
  <bookViews>
    <workbookView xWindow="-120" yWindow="-120" windowWidth="38640" windowHeight="21120" firstSheet="1" xr2:uid="{6CBAC33C-580C-4F96-AD27-625F455E22F6}"/>
  </bookViews>
  <sheets>
    <sheet name="Summary" sheetId="2" r:id="rId1"/>
    <sheet name="Keltbray Onboarding" sheetId="1" r:id="rId2"/>
  </sheets>
  <definedNames>
    <definedName name="_xlnm._FilterDatabase" localSheetId="1" hidden="1">'Keltbray Onboarding'!$A$1:$J$141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 i="2" l="1"/>
  <c r="E4" i="2"/>
  <c r="E6" i="2" s="1"/>
  <c r="B4" i="2"/>
  <c r="B5" i="2"/>
  <c r="B6" i="2"/>
  <c r="B7" i="2"/>
  <c r="B8" i="2"/>
</calcChain>
</file>

<file path=xl/sharedStrings.xml><?xml version="1.0" encoding="utf-8"?>
<sst xmlns="http://schemas.openxmlformats.org/spreadsheetml/2006/main" count="1562" uniqueCount="718">
  <si>
    <t>Priority Summary</t>
  </si>
  <si>
    <t>Status Summary</t>
  </si>
  <si>
    <t>Priority</t>
  </si>
  <si>
    <t>Case Count</t>
  </si>
  <si>
    <t>Status</t>
  </si>
  <si>
    <t>High</t>
  </si>
  <si>
    <t>Passed</t>
  </si>
  <si>
    <t>Low</t>
  </si>
  <si>
    <t>Failed</t>
  </si>
  <si>
    <t>Medium</t>
  </si>
  <si>
    <t xml:space="preserve">Total </t>
  </si>
  <si>
    <t>Critical</t>
  </si>
  <si>
    <t>Sector</t>
  </si>
  <si>
    <t>TC ID</t>
  </si>
  <si>
    <t>Module</t>
  </si>
  <si>
    <t>Risk Level</t>
  </si>
  <si>
    <t>Test Scenario</t>
  </si>
  <si>
    <t>Pre-Condition</t>
  </si>
  <si>
    <t>Test Steps</t>
  </si>
  <si>
    <t>Test Data</t>
  </si>
  <si>
    <t>Expected Result</t>
  </si>
  <si>
    <t>Keltbray</t>
  </si>
  <si>
    <t>PPAC_KELT_PREFIX_TC_001</t>
  </si>
  <si>
    <t>PREFIX</t>
  </si>
  <si>
    <t>Enter prefix keltbray → display 2 sectors</t>
  </si>
  <si>
    <t>Worker opens onboarding link, company prefix entry screen</t>
  </si>
  <si>
    <t>1. Type "keltbray" into the company prefix field
2. Observe the suggestion list</t>
  </si>
  <si>
    <t>prefix = keltbray</t>
  </si>
  <si>
    <t>1. Suggestions display "Keltbray - KRS" and "Keltbray - Keltbray"</t>
  </si>
  <si>
    <t>PPAC_KELT_PREFIX_TC_002</t>
  </si>
  <si>
    <t>Select "Keltbray - KRS" → enter induction flow</t>
  </si>
  <si>
    <t>Typed "keltbray", suggestions shown</t>
  </si>
  <si>
    <t>1. Select "Keltbray - KRS"</t>
  </si>
  <si>
    <t>select KRS</t>
  </si>
  <si>
    <t>1. Navigate to the Worker Payment Status screen (induction flow)</t>
  </si>
  <si>
    <t>PPAC_KELT_PREFIX_TC_003</t>
  </si>
  <si>
    <t>Select "Keltbray - Keltbray" → enter normal flow</t>
  </si>
  <si>
    <t>1. Select "Keltbray - Keltbray"
2. Tap "Continue →"</t>
  </si>
  <si>
    <t>select Keltbray</t>
  </si>
  <si>
    <t>1. Navigate to the Select site location screen (normal flow, N02)</t>
  </si>
  <si>
    <t>PPAC_KELT_WPS_TC_001</t>
  </si>
  <si>
    <t>WPS</t>
  </si>
  <si>
    <t>Do not select Worker Payment Status → required error</t>
  </si>
  <si>
    <t>Entered KRS, Worker Payment Status screen, dropdown empty</t>
  </si>
  <si>
    <t>1. Do not select anything in the dropdown
2. Try to continue</t>
  </si>
  <si>
    <t>(none)</t>
  </si>
  <si>
    <t>1. Field has red border + red error "Please select here"; cannot continue</t>
  </si>
  <si>
    <t>PPAC_KELT_WPS_TC_002</t>
  </si>
  <si>
    <t>Sheet displays exactly 3 options (single-select)</t>
  </si>
  <si>
    <t>Worker Payment Status screen</t>
  </si>
  <si>
    <t>1. Open the dropdown
2. Observe the "Worker Payment Status" sheet</t>
  </si>
  <si>
    <t>N/A</t>
  </si>
  <si>
    <t>1. Sheet has exactly 3 options: CIS · Limited · Umbrella; selecting 1 → marked with green CheckCircle (single-select)</t>
  </si>
  <si>
    <t>PPAC_KELT_WPS_TC_003</t>
  </si>
  <si>
    <t>Select CIS → show provider radio (Riddingtons/Industrial Labour)</t>
  </si>
  <si>
    <t>1. Select CIS
2. Observe below the dropdown</t>
  </si>
  <si>
    <t>CIS</t>
  </si>
  <si>
    <t>1. Dropdown collapses to "CIS"; shows provider radio group: Riddingtons + Industrial Labour; "Next →" button</t>
  </si>
  <si>
    <t>PPAC_KELT_WPS_TC_004</t>
  </si>
  <si>
    <t>CIS + no provider selected → block Next</t>
  </si>
  <si>
    <t>CIS selected, no provider selected</t>
  </si>
  <si>
    <t>1. Do not select a provider
2. Tap "Next →"</t>
  </si>
  <si>
    <t>CIS, provider = (none)</t>
  </si>
  <si>
    <t>1. Does not navigate (BR-03: provider required when CIS)</t>
  </si>
  <si>
    <t>PPAC_KELT_WPS_TC_005</t>
  </si>
  <si>
    <t>CIS + Riddingtons → Next → Welcome Riddingtons</t>
  </si>
  <si>
    <t>CIS selected</t>
  </si>
  <si>
    <t>1. Select provider Riddingtons
2. Tap "Next →"</t>
  </si>
  <si>
    <t>CIS + Riddingtons</t>
  </si>
  <si>
    <t>1. Navigate to Welcome "Welcome to Riddingtons payroll services."</t>
  </si>
  <si>
    <t>PPAC_KELT_WPS_TC_006</t>
  </si>
  <si>
    <t>CIS + Industrial Labour → Next → Welcome Industrial Labour</t>
  </si>
  <si>
    <t>1. Select provider Industrial Labour
2. Tap "Next →"</t>
  </si>
  <si>
    <t>CIS + Industrial Labour</t>
  </si>
  <si>
    <t>1. Navigate to Welcome "Welcome to Industrial Labour LTD payroll services."</t>
  </si>
  <si>
    <t>PPAC_KELT_WPS_TC_007</t>
  </si>
  <si>
    <t>Select Limited → show provider text + "Kindly provide one of the following" section</t>
  </si>
  <si>
    <t>1. Select Limited
2. Observe below the dropdown</t>
  </si>
  <si>
    <t>Limited</t>
  </si>
  <si>
    <t>1. Shows provider text line (fixed) + "Kindly provide one of the following:" section with 2 buttons Company Registration Number → / Company Trading Name →
displays "Industrial Labour"</t>
  </si>
  <si>
    <t>PPAC_KELT_WPS_TC_008</t>
  </si>
  <si>
    <t>Select Umbrella → provider radio Riddingtons (1 option) → Next → Welcome</t>
  </si>
  <si>
    <t>1. Select Umbrella
2. Select radio Riddingtons
3. Tap "Next →"</t>
  </si>
  <si>
    <t>Umbrella + Riddingtons</t>
  </si>
  <si>
    <t>1. Shows radio "Riddingtons" (1 option, selected); Next → Welcome "Welcome to Riddingtons payroll services."</t>
  </si>
  <si>
    <t>PPAC_KELT_WPS_TC_009</t>
  </si>
  <si>
    <t>Change selection CIS → Limited → hide provider radio, show company section (State Transition)</t>
  </si>
  <si>
    <t>CIS selected (provider radio shown)</t>
  </si>
  <si>
    <t>1. Change dropdown to Limited
2. Observe</t>
  </si>
  <si>
    <t>CIS → Limited</t>
  </si>
  <si>
    <t>1. Provider radio (Riddingtons/Industrial Labour) hidden; shows the "Kindly provide one of the following" section for Limited</t>
  </si>
  <si>
    <t>PPAC_KELT_WPS_TC_010</t>
  </si>
  <si>
    <t>Header displays correctly</t>
  </si>
  <si>
    <t>1. Observe the header</t>
  </si>
  <si>
    <t>1. Has keltbray logo, Back button (&lt;); green title "Worker Payment Status"</t>
  </si>
  <si>
    <t>PPAC_KELT_WELCOME_TC_001</t>
  </si>
  <si>
    <t>WELCOME</t>
  </si>
  <si>
    <t>Welcome Riddingtons (CIS/Umbrella) displays correct logo + heading</t>
  </si>
  <si>
    <t>Selected provider Riddingtons → Welcome screen</t>
  </si>
  <si>
    <t>1. Observe logo + heading</t>
  </si>
  <si>
    <t>1. Logo "Riddingtons Payroll"; green heading "Welcome to Riddingtons payroll services."</t>
  </si>
  <si>
    <t>PPAC_KELT_WELCOME_TC_002</t>
  </si>
  <si>
    <t>Welcome Industrial Labour (CIS) displays correct logo + heading</t>
  </si>
  <si>
    <t>Selected CIS + Industrial Labour → Welcome screen</t>
  </si>
  <si>
    <t>1. Logo "IL — INDUSTRIAL LABOUR LTD"; heading "Welcome to Industrial Labour LTD payroll services."</t>
  </si>
  <si>
    <t>PPAC_KELT_WELCOME_TC_003</t>
  </si>
  <si>
    <t>Welcome body verbatim (every provider)</t>
  </si>
  <si>
    <t>Welcome screen (any provider)</t>
  </si>
  <si>
    <t>1. Read the body</t>
  </si>
  <si>
    <t>1. Body correct: "Please complete your full personal details in line with our client's requirements. You will be contacted by us directly to complete the contract services." + "Thank you."</t>
  </si>
  <si>
    <t>PPAC_KELT_WELCOME_TC_004</t>
  </si>
  <si>
    <t>Next → Personal information</t>
  </si>
  <si>
    <t>Welcome screen</t>
  </si>
  <si>
    <t>1. Tap "Next →"</t>
  </si>
  <si>
    <t>1. Navigate to the Personal information form (Onboarding details tab)</t>
  </si>
  <si>
    <t>PPAC_KELT_WELCOME_TC_005</t>
  </si>
  <si>
    <t>Welcome Umbrella = Riddingtons</t>
  </si>
  <si>
    <t>Selected Umbrella + Riddingtons → Welcome</t>
  </si>
  <si>
    <t>1. Observe the heading</t>
  </si>
  <si>
    <t>1. Heading "Welcome to Riddingtons payroll services." (Umbrella uses Riddingtons)</t>
  </si>
  <si>
    <t>PPAC_KELT_DEF_TC_001</t>
  </si>
  <si>
    <t>DEF</t>
  </si>
  <si>
    <t>🐞 DN-04 — provider text at WPS Limited must be Industrial Labour</t>
  </si>
  <si>
    <t>Worker Payment Status screen, selected Limited</t>
  </si>
  <si>
    <t>1. Observe the provider text line below the Limited dropdown</t>
  </si>
  <si>
    <t>Displays provider = "Industrial Labour" (currently displaying WRONG "Payroll Provider is Riddingtons" → bug DN-04)</t>
  </si>
  <si>
    <t>PPAC_KELT_DEF_TC_002</t>
  </si>
  <si>
    <t>Limited: Welcome = Industrial Labour LTD (actual provider)</t>
  </si>
  <si>
    <t>Selected Limited → through company info → Welcome screen</t>
  </si>
  <si>
    <t>1. Observe the Welcome heading</t>
  </si>
  <si>
    <t>1. Heading "Welcome to Industrial Labour LTD payroll services." → confirms the actual provider of Limited = Industrial Labour (cross-check DEF_TC_001)</t>
  </si>
  <si>
    <t>PPAC_KELT_PICIS_TC_001</t>
  </si>
  <si>
    <t>PICIS</t>
  </si>
  <si>
    <t>Enter all valid fields → Next to Health Questionnaire</t>
  </si>
  <si>
    <t>Personal information screen (CIS); pre-filled values available</t>
  </si>
  <si>
    <t>1. Upload passport
2. Enter Address, City, Postcode
3. Enter Candidate's Mobile Phone, NIN
4. Select Gender, Contract/Job start date, enter Next of Kin + Tel, select Trade
5. Enter UTR, Name of bank, Bank account, Sort code
6. Tap "Next →"</t>
  </si>
  <si>
    <t>Phone=07700900111; NIN=AH123456L; Contract=01/01/2026; Next of Kin=John Smith; Tel=07700900222; UTR=1234567890; Bank acc=12345678; Sort=12-34-56; Roll=(empty)</t>
  </si>
  <si>
    <t>1. All fields accept values, no errors
2. Navigate to the Health Questionnaire tab</t>
  </si>
  <si>
    <t>PPAC_KELT_PICIS_TC_002</t>
  </si>
  <si>
    <t>Your passport left empty → required error, block Next</t>
  </si>
  <si>
    <t>Personal information screen, passport not uploaded</t>
  </si>
  <si>
    <t>1. Leave "Your passport" empty
2. Fill other fields validly
3. Tap "Next →"</t>
  </si>
  <si>
    <t>passport=(none)</t>
  </si>
  <si>
    <t>1. Error "Please upload your passport"; does not navigate</t>
  </si>
  <si>
    <t>PPAC_KELT_PICIS_TC_003</t>
  </si>
  <si>
    <t>Tap "Upload your passport" → navigate to Regula screen</t>
  </si>
  <si>
    <t>Personal information screen</t>
  </si>
  <si>
    <t>1. Tap "+ Upload your passport"</t>
  </si>
  <si>
    <t>1. Navigate to the Screen "Upload your passprt"; helper "Accepted file types: png, jpg, jpeg, doc, docx, pdf."</t>
  </si>
  <si>
    <t>PPAC_KELT_PICIS_TC_004</t>
  </si>
  <si>
    <t>Pre-filled values displayed from profile</t>
  </si>
  <si>
    <t>1. Observe Surname, Forenames, Email, Date of Birth, Citizenship</t>
  </si>
  <si>
    <t>1. 5 fields display pre-filled values (e.g. Surname/Forenames "Maya", DOB 28/05/2001, Citizenship "Vietnamese") — no need to re-enter</t>
  </si>
  <si>
    <t>PPAC_KELT_PICIS_TC_005</t>
  </si>
  <si>
    <t>Pre-filled fields CANNOT be edited/deleted (read-only)</t>
  </si>
  <si>
    <t>Personal information screen; Surname/Forenames/Email/DOB/Citizenship pre-filled from profile</t>
  </si>
  <si>
    <t>1. Try to edit and delete each field in turn: Surname, Forenames, Email, Date of Birth, Citizenship</t>
  </si>
  <si>
    <t>1. Cannot edit/delete — Surname, Forenames -filled fields are read-only; values remain from profile</t>
  </si>
  <si>
    <t>PPAC_KELT_PICIS_TC_006</t>
  </si>
  <si>
    <t>Address left empty → required error</t>
  </si>
  <si>
    <t>1. Leave Address empty
2. Tap "Next →"</t>
  </si>
  <si>
    <t>Address=(empty)</t>
  </si>
  <si>
    <t>1. Display required error at Address; does not navigate</t>
  </si>
  <si>
    <t>PPAC_KELT_PICIS_TC_007</t>
  </si>
  <si>
    <t>City / Postcode left empty → required error</t>
  </si>
  <si>
    <t>1. Leave City and Postcode empty
2. Tap "Next →"</t>
  </si>
  <si>
    <t>City=(empty); Postcode=(empty)</t>
  </si>
  <si>
    <t>1. Each field (City, Postcode) displays a required error; does not navigate</t>
  </si>
  <si>
    <t>PPAC_KELT_PICIS_TC_008</t>
  </si>
  <si>
    <t>Candidate's Mobile Phone &lt; 11 digits → error (BVA)</t>
  </si>
  <si>
    <t>1. Enter Candidate's Mobile Phone &lt; 11 digits
2. Tap "Next →"</t>
  </si>
  <si>
    <t>Phone=8272930 (7 digits)</t>
  </si>
  <si>
    <t>1. Display "either your phone number is invalid or use at least 11 digits"; does not navigate</t>
  </si>
  <si>
    <t>PPAC_KELT_PICIS_TC_009</t>
  </si>
  <si>
    <t>Candidate's Mobile Phone left empty → required error</t>
  </si>
  <si>
    <t>1. Leave Candidate's Mobile Phone empty
2. Tap "Next →"</t>
  </si>
  <si>
    <t>Phone=(empty)</t>
  </si>
  <si>
    <t>1. Display required error at Candidate's Mobile Phone; does not navigate</t>
  </si>
  <si>
    <t>PPAC_KELT_PICIS_TC_010</t>
  </si>
  <si>
    <t>Candidate's Mobile Phone = 11 digits → accepted (BVA boundary)</t>
  </si>
  <si>
    <t>1. Enter Phone with exactly 11 digits
2. Leave focus</t>
  </si>
  <si>
    <t>Phone=07700900111 (11 digits)</t>
  </si>
  <si>
    <t>1. No phone error; field accepts the value</t>
  </si>
  <si>
    <t>PPAC_KELT_PICIS_TC_011</t>
  </si>
  <si>
    <t>NIN wrong format → verbatim format error</t>
  </si>
  <si>
    <t>1. Enter NIN with wrong format
2. Tap "Next →"</t>
  </si>
  <si>
    <t>NIN=MIDORI</t>
  </si>
  <si>
    <t>1. Display "Please enter the right format: 2 letters, 6 numbers, 1 letter (e.g. AA999999A)"; does not navigate</t>
  </si>
  <si>
    <t>PPAC_KELT_PICIS_TC_012</t>
  </si>
  <si>
    <t>NIN missing 1 number (boundary) → format error (BVA)</t>
  </si>
  <si>
    <t>1. Enter NIN missing 1 number (2 letters + 5 numbers + 1 letter)
2. Tap "Next →"</t>
  </si>
  <si>
    <t>NIN=AH12345L</t>
  </si>
  <si>
    <t>1. Display NIN format error</t>
  </si>
  <si>
    <t>PPAC_KELT_PICIS_TC_013</t>
  </si>
  <si>
    <t>NIN correct format (2 letters + 6 numbers + 1 letter) → accepted</t>
  </si>
  <si>
    <t>1. Enter NIN with correct format
2. Leave focus</t>
  </si>
  <si>
    <t>NIN=AH123456L</t>
  </si>
  <si>
    <t>1. No NIN error; field accepts the value</t>
  </si>
  <si>
    <t>PPAC_KELT_PICIS_TC_014</t>
  </si>
  <si>
    <t>NIN left empty → required error</t>
  </si>
  <si>
    <t>1. Leave NIN empty
2. Tap "Next →"</t>
  </si>
  <si>
    <t>NIN=(empty)</t>
  </si>
  <si>
    <t>1. Display required error at NIN; does not navigate</t>
  </si>
  <si>
    <t>PPAC_KELT_PICIS_TC_015</t>
  </si>
  <si>
    <t>Contract/Job start date left empty → error "Please enter here"</t>
  </si>
  <si>
    <t>1. Leave Contract/Job start date empty
2. Tap "Next →"</t>
  </si>
  <si>
    <t>Contract=(empty)</t>
  </si>
  <si>
    <t>1. Display "Please enter here" at Contract/Job start date; does not navigate</t>
  </si>
  <si>
    <t>PPAC_KELT_PICIS_TC_016</t>
  </si>
  <si>
    <t>Next of Kin left empty → required error</t>
  </si>
  <si>
    <t>1. Leave Next of Kin empty
2. Tap "Next →"</t>
  </si>
  <si>
    <t>Next of Kin=(empty)</t>
  </si>
  <si>
    <t>1. Display required error at Next of Kin; does not navigate</t>
  </si>
  <si>
    <t>PPAC_KELT_PICIS_TC_017</t>
  </si>
  <si>
    <t>Tel (Next of Kin) wrong format → error</t>
  </si>
  <si>
    <t>1. Enter an invalid Tel (Next of Kin)
2. Tap "Next →"</t>
  </si>
  <si>
    <t>Tel=8272930</t>
  </si>
  <si>
    <t>1. Display "Please enter a valid phone number"; does not navigate</t>
  </si>
  <si>
    <t>PPAC_KELT_PICIS_TC_018</t>
  </si>
  <si>
    <t>Trade not selected → required error</t>
  </si>
  <si>
    <t>1. Leave Trade empty
2. Tap "Next →"</t>
  </si>
  <si>
    <t>Trade=(none)</t>
  </si>
  <si>
    <t>1. Display required error at Trade; does not navigate</t>
  </si>
  <si>
    <t>PPAC_KELT_PICIS_TC_020</t>
  </si>
  <si>
    <t>UTR correct format → accepted (EP)</t>
  </si>
  <si>
    <t>1. Enter UTR with correct format
2. Leave focus</t>
  </si>
  <si>
    <t>UTR=1234567890K</t>
  </si>
  <si>
    <t>1. No UTR error; field accepts the value</t>
  </si>
  <si>
    <t>PPAC_KELT_PICIS_TC_021</t>
  </si>
  <si>
    <t>UTR wrong format → verbatim format error</t>
  </si>
  <si>
    <t>1. Enter UTR with wrong format
2. Tap "Next →"</t>
  </si>
  <si>
    <t>UTR=12345</t>
  </si>
  <si>
    <t>1. Display "The UTR number can only be of the form - 1234567890 or 1234567890K"; does not navigate</t>
  </si>
  <si>
    <t>PPAC_KELT_PICIS_TC_022</t>
  </si>
  <si>
    <t>Bank account number = 8 digits → accepted</t>
  </si>
  <si>
    <t>1. Enter Bank account with exactly 8 digits
2. Leave focus</t>
  </si>
  <si>
    <t>Bank acc=12345678</t>
  </si>
  <si>
    <t>1. No error; field accepts the value</t>
  </si>
  <si>
    <t>PPAC_KELT_PICIS_TC_023</t>
  </si>
  <si>
    <t>Bank account ≠ 8 digits (boundary 7 digits) → format error</t>
  </si>
  <si>
    <t>1. Enter Bank account with 7 digits
2. Tap "Next →"</t>
  </si>
  <si>
    <t>Bank acc=1234567</t>
  </si>
  <si>
    <t>1. Display "the bank account number can only be of the form - 12345678 or 8 digits ex.12345678"; does not navigate</t>
  </si>
  <si>
    <t>PPAC_KELT_PICIS_TC_024</t>
  </si>
  <si>
    <t>Name of bank left empty → error "Please enter here"</t>
  </si>
  <si>
    <t>1. Leave Name of bank empty
2. Tap "Next →"</t>
  </si>
  <si>
    <t>Name of bank=(empty)</t>
  </si>
  <si>
    <t>1. Display "Please enter here" at Name of bank; does not navigate</t>
  </si>
  <si>
    <t>PPAC_KELT_PICIS_TC_025</t>
  </si>
  <si>
    <t>Sort code left empty → error "Please enter here"</t>
  </si>
  <si>
    <t>1. Leave Sort code empty
2. Tap "Next →"</t>
  </si>
  <si>
    <t>Sort code=(empty)</t>
  </si>
  <si>
    <t>1. Display "Please enter here" at Sort code; does not navigate</t>
  </si>
  <si>
    <t>PPAC_KELT_PICIS_TC_026</t>
  </si>
  <si>
    <t>Roll number left empty still allows Next (OPTIONAL)</t>
  </si>
  <si>
    <t>Personal information screen, required fields valid, Roll number empty</t>
  </si>
  <si>
    <t>1. Leave Roll number (if applicable) empty
2. Tap "Next →"</t>
  </si>
  <si>
    <t>Roll number=(empty)</t>
  </si>
  <si>
    <t>1. NO error at Roll number; navigate to Health Questionnaire (optional field)</t>
  </si>
  <si>
    <t>PPAC_KELT_PICIS_TC_027</t>
  </si>
  <si>
    <t>Has UTR Number field (CIS-specific)</t>
  </si>
  <si>
    <t>Personal information screen CIS</t>
  </si>
  <si>
    <t>1. Scroll the form to find the UTR Number field</t>
  </si>
  <si>
    <t>1. HAS the "UTR Number" field (specific to the CIS branch — cross-check Umbrella does not have it)</t>
  </si>
  <si>
    <t>PPAC_KELT_PICIS_TC_028</t>
  </si>
  <si>
    <t>Multiple required fields empty at once → each field reports an error</t>
  </si>
  <si>
    <t>Personal information screen empty (except pre-filled)</t>
  </si>
  <si>
    <t>1. Leave all required fields empty
2. Tap "Next →"</t>
  </si>
  <si>
    <t>all empty</t>
  </si>
  <si>
    <t>1. Each required field displays its corresponding error; does not navigate</t>
  </si>
  <si>
    <t>PPAC_KELT_LTDCO_TC_001</t>
  </si>
  <si>
    <t>LTDCO</t>
  </si>
  <si>
    <t>Must select 1 of 2 (one-of)</t>
  </si>
  <si>
    <t>"Kindly provide one of the following" screen</t>
  </si>
  <si>
    <t>1. Do not select Company Registration Number / Company Trading Name
2. Try to continue</t>
  </si>
  <si>
    <t>1. Cannot continue — must select 1 of 2 (one-of)</t>
  </si>
  <si>
    <t>PPAC_KELT_LTDCO_TC_002</t>
  </si>
  <si>
    <t>Select "Company Registration Number" → M-LTD-01 screen</t>
  </si>
  <si>
    <t>1. Tap "Company Registration Number →"</t>
  </si>
  <si>
    <t>1. Navigate to the screen titled "Company Registration Number" (M-LTD-01)</t>
  </si>
  <si>
    <t>PPAC_KELT_LTDCO_TC_003</t>
  </si>
  <si>
    <t>Select "Company Trading Name" → M-LTD-02 screen</t>
  </si>
  <si>
    <t>1. Tap "Company Trading Name →"</t>
  </si>
  <si>
    <t>1. Navigate to the screen titled "Company Trading Name"</t>
  </si>
  <si>
    <t>PPAC_KELT_LTDCO_TC_004</t>
  </si>
  <si>
    <t>M-LTD-01: Company Registration Number left empty → error</t>
  </si>
  <si>
    <t>Company Registration Number screen (M-LTD-01)</t>
  </si>
  <si>
    <t>1. Leave the Company Registration Number field empty
2. Tap "Next →"</t>
  </si>
  <si>
    <t>(empty)</t>
  </si>
  <si>
    <t>1. Display "Please enter here"; does not navigate</t>
  </si>
  <si>
    <t>PPAC_KELT_LTDCO_TC_005</t>
  </si>
  <si>
    <t>M-LTD-01: Reg Number wrong format → verbatim error</t>
  </si>
  <si>
    <t>Company Registration Number screen</t>
  </si>
  <si>
    <t>1. Enter wrong format
2. Tap "Next →"</t>
  </si>
  <si>
    <t>CHCJMX</t>
  </si>
  <si>
    <t>1. Display "The Company Registration Number can only be of the form – 12345678 or two letters followed by 8 digits ex. SC12345678"</t>
  </si>
  <si>
    <t>PPAC_KELT_LTDCO_TC_006</t>
  </si>
  <si>
    <t>M-LTD-01: Reg Number = 8 digits → accepted (BVA/EP)</t>
  </si>
  <si>
    <t>1. Enter 8 digits
2. Leave focus</t>
  </si>
  <si>
    <t>PPAC_KELT_LTDCO_TC_007</t>
  </si>
  <si>
    <t>M-LTD-01: Reg Number = 2 letters + 8 digits → accepted (EP)</t>
  </si>
  <si>
    <t>1. Enter 2 letters + 8 digits
2. Leave focus</t>
  </si>
  <si>
    <t>SC12345678</t>
  </si>
  <si>
    <t>PPAC_KELT_LTDCO_TC_008</t>
  </si>
  <si>
    <t>"Are you a Managing Director?" not selected → error</t>
  </si>
  <si>
    <t>Company-info screen (M-LTD-01 or M-LTD-02)</t>
  </si>
  <si>
    <t>1. Do not select Yes/No at "Are you a Managing Director?"
2. Tap "Next →"</t>
  </si>
  <si>
    <t>1. Display "Please select here"; does not navigate</t>
  </si>
  <si>
    <t>PPAC_KELT_LTDCO_TC_009</t>
  </si>
  <si>
    <t>MD = No → show "Please enter your position" field (State Transition)</t>
  </si>
  <si>
    <t>Company-info screen</t>
  </si>
  <si>
    <t>1. Select No at "Are you a Managing Director?"
2. Observe</t>
  </si>
  <si>
    <t>MD=No</t>
  </si>
  <si>
    <t>1. Show the "Please enter your position" field (placeholder "Please enter here")</t>
  </si>
  <si>
    <t>PPAC_KELT_LTDCO_TC_010</t>
  </si>
  <si>
    <t>MD = No + position left empty → error</t>
  </si>
  <si>
    <t>Company-info screen, MD=No (position field shown)</t>
  </si>
  <si>
    <t>1. Leave "Please enter your position" empty
2. Tap "Next →"</t>
  </si>
  <si>
    <t>position=(empty)</t>
  </si>
  <si>
    <t>1. Display "Please enter here" at the position field; does not navigate</t>
  </si>
  <si>
    <t>PPAC_KELT_LTDCO_TC_011</t>
  </si>
  <si>
    <t>MD = Yes → hide position field (State Transition)</t>
  </si>
  <si>
    <t>Company-info screen, MD currently = No (position field shown)</t>
  </si>
  <si>
    <t>1. Change to Yes
2. Observe</t>
  </si>
  <si>
    <t>MD=Yes</t>
  </si>
  <si>
    <t>1. "Please enter your position" field hidden; position not required</t>
  </si>
  <si>
    <t>PPAC_KELT_LTDCO_TC_012</t>
  </si>
  <si>
    <t>"Are you VAT Registered?" not selected → error</t>
  </si>
  <si>
    <t>1. Do not select Yes/No at "Are you VAT Registered?"
2. Tap "Next →"</t>
  </si>
  <si>
    <t>VAT=(none)</t>
  </si>
  <si>
    <t>PPAC_KELT_LTDCO_TC_013</t>
  </si>
  <si>
    <t>M-LTD-02: Company Trading Name left empty → error</t>
  </si>
  <si>
    <t>Company Registration Name screen (M-LTD-02)</t>
  </si>
  <si>
    <t>1. Leave Company Trading Name empty
2. Tap "Next →"</t>
  </si>
  <si>
    <t>PPAC_KELT_LTDCO_TC_014</t>
  </si>
  <si>
    <t>M-LTD-02: Trading Name accepts any text → accepted (NO format validation)</t>
  </si>
  <si>
    <t>Company Registration Name screen</t>
  </si>
  <si>
    <t>1. Enter any non-empty text
2. Leave focus</t>
  </si>
  <si>
    <t>ABC Builders Ltd</t>
  </si>
  <si>
    <t>1. No error; field accepts any text (does not validate reg number format)</t>
  </si>
  <si>
    <t>PPAC_KELT_LTDCO_TC_015</t>
  </si>
  <si>
    <t>Complete company-info (VAT=No) → Next → Welcome Industrial Labour LTD</t>
  </si>
  <si>
    <t>Company-info screen, entered Reg Number/Trading Name + MD + VAT</t>
  </si>
  <si>
    <t>1. Enter all valid fields, select VAT Registered = No
2. Tap "Next →"</t>
  </si>
  <si>
    <t>Reg=12345678; MD=Yes; VAT=No</t>
  </si>
  <si>
    <t>1. Navigate to Welcome "Welcome to Industrial Labour LTD payroll services." → Personal information Limited version</t>
  </si>
  <si>
    <t>PPAC_KELT_PILTD_TC_001</t>
  </si>
  <si>
    <t>PILTD</t>
  </si>
  <si>
    <t>Happy path VAT=No → Next to Health Questionnaire</t>
  </si>
  <si>
    <t>Entered PILTD, VAT Registered = No (no VAT field)</t>
  </si>
  <si>
    <t>1. Upload passport
2. Enter Address/City/Postcode, Phone
3. Enter UTR, Company trading name, Company registration number, Name of bank, Bank account, Sort code, select Trade
4. Tap "Next →"</t>
  </si>
  <si>
    <t>Phone=07700900111; UTR=1234567890; Bank acc=12345678; Sort=12-34-56; Roll=(empty)</t>
  </si>
  <si>
    <t>1. All fields valid, no errors
2. Navigate to the Health Questionnaire tab</t>
  </si>
  <si>
    <t>PPAC_KELT_PILTD_TC_002</t>
  </si>
  <si>
    <t>Your passport left empty → "Please upload your passport"</t>
  </si>
  <si>
    <t>PILTD screen, passport not uploaded</t>
  </si>
  <si>
    <t>1. Leave passport empty
2. Tap "Next →"</t>
  </si>
  <si>
    <t>1. Display "Please upload your passport"; does not navigate</t>
  </si>
  <si>
    <t>PPAC_KELT_PILTD_TC_003</t>
  </si>
  <si>
    <t>Pre-filled fields (Surname/Forenames/Email) read-only</t>
  </si>
  <si>
    <t>PILTD screen</t>
  </si>
  <si>
    <t>1. Try to edit / delete Surname, Forenames, Email</t>
  </si>
  <si>
    <t>1. Cannot edit/delete — 3 read-only fields, kept from profile</t>
  </si>
  <si>
    <t>PPAC_KELT_PILTD_TC_004</t>
  </si>
  <si>
    <t>Different from CIS — NO NIN/DOB/Citizenship/Contract start/Next of Kin/Tel</t>
  </si>
  <si>
    <t>1. Scroll the entire form, look for the NIN, Date of Birth, Citizenship, Contract/Job start date, Next of Kin, Tel (Next of Kin) fields</t>
  </si>
  <si>
    <t>1. No 6 of these fields in the Limited version (different from CIS)</t>
  </si>
  <si>
    <t>PPAC_KELT_PILTD_TC_005</t>
  </si>
  <si>
    <t>Has Company trading name + Company registration number fields</t>
  </si>
  <si>
    <t>1. Scroll the form to find the 2 Company fields</t>
  </si>
  <si>
    <t>1. HAS "Company trading name" and "Company registration number" (Limited-specific)</t>
  </si>
  <si>
    <t>PPAC_KELT_PILTD_TC_006</t>
  </si>
  <si>
    <t>Company trading name pre-filled from M-LTD-02</t>
  </si>
  <si>
    <t>Selected Company Trading Name path in company-info, entered "ABC Builders Ltd"</t>
  </si>
  <si>
    <t>1. Enter PILTD, observe the "Company trading name" field</t>
  </si>
  <si>
    <t>entered "ABC Builders Ltd" at M-LTD-02</t>
  </si>
  <si>
    <t>1. The "Company trading name" field is pre-filled = "ABC Builders Ltd" (pre-fill from M-LTD-02)</t>
  </si>
  <si>
    <t>PPAC_KELT_PILTD_TC_007</t>
  </si>
  <si>
    <t>Company registration number pre-filled from M-LTD-01</t>
  </si>
  <si>
    <t>Selected Company Registration Number path in company-info, entered "SC12345678"</t>
  </si>
  <si>
    <t>1. Enter PILTD, observe the "Company registration number" field</t>
  </si>
  <si>
    <t>entered "SC12345678" at M-LTD-01</t>
  </si>
  <si>
    <t>1. The "Company registration number" field is pre-filled = "SC12345678" (pre-fill from M-LTD-01)</t>
  </si>
  <si>
    <t>PPAC_KELT_PILTD_TC_008</t>
  </si>
  <si>
    <t>VAT Registered = Yes → show VAT Number + Your VAT Certificate (Decision Table)</t>
  </si>
  <si>
    <t>Selected VAT Registered = Yes in company-info</t>
  </si>
  <si>
    <t>1. Enter PILTD
2. Observe the area after UTR Number</t>
  </si>
  <si>
    <t>VAT=Yes</t>
  </si>
  <si>
    <t>1. Additionally shows VAT Number + Your VAT Certificate (upload) right after UTR Number</t>
  </si>
  <si>
    <t>PPAC_KELT_PILTD_TC_009</t>
  </si>
  <si>
    <t>VAT Registered = No → NO VAT Number/Certificate</t>
  </si>
  <si>
    <t>Selected VAT Registered = No in company-info</t>
  </si>
  <si>
    <t>VAT=No</t>
  </si>
  <si>
    <t>1. No VAT Number / Your VAT Certificate field</t>
  </si>
  <si>
    <t>PPAC_KELT_PILTD_TC_010</t>
  </si>
  <si>
    <t>VAT=Yes — upload Your VAT Certificate via component</t>
  </si>
  <si>
    <t>PILTD screen, VAT=Yes</t>
  </si>
  <si>
    <t>1. Tap "+ Upload document" at Your VAT Certificate
2. Select source → capture/upload → Okay</t>
  </si>
  <si>
    <t>VAT Certificate document</t>
  </si>
  <si>
    <t>1. Opens the "Pick your source of document" component → upload successful → card "VAT Certificate Document" (✓) displayed in the field</t>
  </si>
  <si>
    <t>PPAC_KELT_PILTD_TC_011</t>
  </si>
  <si>
    <t>1. Enter Phone &lt; 11 digits
2. Tap "Next →"</t>
  </si>
  <si>
    <t>Phone=8272930</t>
  </si>
  <si>
    <t>PPAC_KELT_PILTD_TC_012</t>
  </si>
  <si>
    <t>UTR wrong format → verbatim error</t>
  </si>
  <si>
    <t>1. Display "The UTR number can only be of the form - 1234567890 or 1234567890K"</t>
  </si>
  <si>
    <t>PPAC_KELT_PILTD_TC_013</t>
  </si>
  <si>
    <t>Bank account ≠ 8 digits (boundary 7 digits) → error</t>
  </si>
  <si>
    <t>1. Display "the bank account number can only be of the form - 12345678 or 8 digits ex.12345678"</t>
  </si>
  <si>
    <t>PPAC_KELT_PILTD_TC_014</t>
  </si>
  <si>
    <t>Name of bank / Sort code left empty → "Please enter here"</t>
  </si>
  <si>
    <t>1. Leave Name of bank and Sort code empty
2. Tap "Next →"</t>
  </si>
  <si>
    <t>1. Each field displays "Please enter here"; does not navigate</t>
  </si>
  <si>
    <t>PPAC_KELT_PILTD_TC_015</t>
  </si>
  <si>
    <t>Address / City / Postcode left empty → required error</t>
  </si>
  <si>
    <t>1. Leave Address, City, Postcode empty
2. Tap "Next →"</t>
  </si>
  <si>
    <t>1. Each field displays a required error; does not navigate</t>
  </si>
  <si>
    <t>PPAC_KELT_PILTD_TC_016</t>
  </si>
  <si>
    <t>PPAC_KELT_PILTD_TC_017</t>
  </si>
  <si>
    <t>PILTD screen, required fields valid, Roll number empty</t>
  </si>
  <si>
    <t>1. Leave Roll number empty
2. Tap "Next →"</t>
  </si>
  <si>
    <t>Roll=(empty)</t>
  </si>
  <si>
    <t>1. NO Roll number error; navigate to Health Questionnaire</t>
  </si>
  <si>
    <t>PPAC_KELT_PILTD_TC_018</t>
  </si>
  <si>
    <t>Happy path VAT=Yes (VAT cert uploaded) → Next to Health Questionnaire</t>
  </si>
  <si>
    <t>PILTD screen, VAT=Yes, VAT Certificate uploaded</t>
  </si>
  <si>
    <t>1. Fill all valid fields + VAT Number
2. Tap "Next →"</t>
  </si>
  <si>
    <t>VAT Number=GB123456789; all fields valid</t>
  </si>
  <si>
    <t>1. No error; navigate to the Health Questionnaire tab</t>
  </si>
  <si>
    <t>PPAC_KELT_PIUMB_TC_001</t>
  </si>
  <si>
    <t>PIUMB</t>
  </si>
  <si>
    <t>Happy path → Next to Health Questionnaire</t>
  </si>
  <si>
    <t>Personal information Umbrella version screen</t>
  </si>
  <si>
    <t>1. Upload passport
2. Enter Address/City/Postcode, Phone, NIN
3. Select Contract start date, Next of Kin + Tel, Trade
4. Enter Name of bank, Bank account, Sort code
5. Tap "Next →"</t>
  </si>
  <si>
    <t>Phone=07700900111; NIN=AH123456L; Bank acc=12345678; Sort=12-34-56</t>
  </si>
  <si>
    <t>PPAC_KELT_PIUMB_TC_002</t>
  </si>
  <si>
    <t>PIUMB screen, passport not uploaded</t>
  </si>
  <si>
    <t>PPAC_KELT_PIUMB_TC_003</t>
  </si>
  <si>
    <t>Pre-filled fields (all 5) read-only</t>
  </si>
  <si>
    <t>PIUMB screen</t>
  </si>
  <si>
    <t>1. Try to edit / delete Surname, Forenames, Email, Date of Birth, Citizenship</t>
  </si>
  <si>
    <t>1. Cannot edit/delete — all 5 fields read-only</t>
  </si>
  <si>
    <t>PPAC_KELT_PIUMB_TC_004</t>
  </si>
  <si>
    <t>NO UTR Number field (different from CIS)</t>
  </si>
  <si>
    <t>1. Scroll the entire form to find the "UTR Number" field</t>
  </si>
  <si>
    <t>1. No UTR Number field (characteristic of Umbrella — different from CIS which has UTR)</t>
  </si>
  <si>
    <t>PPAC_KELT_PIUMB_TC_005</t>
  </si>
  <si>
    <t>NO VAT / Company fields</t>
  </si>
  <si>
    <t>1. Look for VAT Number, Your VAT Certificate, Company trading name, Company registration number fields</t>
  </si>
  <si>
    <t>1. No VAT/Company fields (only Limited has them)</t>
  </si>
  <si>
    <t>PPAC_KELT_PIUMB_TC_006</t>
  </si>
  <si>
    <t>HAS NIN/DOB/Citizenship/Contract/Next of Kin/Tel (same as CIS)</t>
  </si>
  <si>
    <t>1. Scroll the form to confirm these fields are present</t>
  </si>
  <si>
    <t>1. HAS National Insurance Number, Date of Birth, Citizenship, Contract/Job start date, Next of Kin, Tel (Next of Kin) — same as CIS</t>
  </si>
  <si>
    <t>PPAC_KELT_PIUMB_TC_007</t>
  </si>
  <si>
    <t>NIN wrong format → verbatim error (representative)</t>
  </si>
  <si>
    <t>1. Enter wrong NIN
2. Tap "Next →"</t>
  </si>
  <si>
    <t>1. Display "Please enter the right format: 2 letters, 6 numbers, 1 letter (e.g. AA999999A)"</t>
  </si>
  <si>
    <t>PPAC_KELT_PIUMB_TC_008</t>
  </si>
  <si>
    <t>Candidate's Mobile Phone &lt; 11 digits → error (representative)</t>
  </si>
  <si>
    <t>1. Display "either your phone number is invalid or use at least 11 digits"</t>
  </si>
  <si>
    <t>PPAC_KELT_PIUMB_TC_009</t>
  </si>
  <si>
    <t>Bank account ≠ 8 digits → error (representative)</t>
  </si>
  <si>
    <t>PPAC_KELT_PIUMB_TC_010</t>
  </si>
  <si>
    <t>1. Each field displays "Please enter here"</t>
  </si>
  <si>
    <t>PPAC_KELT_HQ_TC_001</t>
  </si>
  <si>
    <t>HQ</t>
  </si>
  <si>
    <t>Answer all 10 questions (mix) + valid details → Next to Declarations</t>
  </si>
  <si>
    <t>Health Questionnaire screen</t>
  </si>
  <si>
    <t>1. Answer 10 questions (some Yes with details entered, rest No)
2. Tap "Next →"</t>
  </si>
  <si>
    <t>Q1=Yes details "Asthma - using inhaler"; rest No</t>
  </si>
  <si>
    <t>1. No error; navigate to the Declarations tab</t>
  </si>
  <si>
    <t>PPAC_KELT_HQ_TC_002</t>
  </si>
  <si>
    <t>Leave ≥1 question empty → "Please answer this question"</t>
  </si>
  <si>
    <t>1. Leave 1 question empty (e.g. Q2)
2. Answer the other questions
3. Tap "Next →"</t>
  </si>
  <si>
    <t>Q2=(not selected)</t>
  </si>
  <si>
    <t>1. Display "Please answer this question" at Q2; does not navigate</t>
  </si>
  <si>
    <t>PPAC_KELT_HQ_TC_003</t>
  </si>
  <si>
    <t>Select Yes → show "Please enter details" field (State Transition)</t>
  </si>
  <si>
    <t>1. Select Yes on 1 question
2. Observe</t>
  </si>
  <si>
    <t>Q1=Yes</t>
  </si>
  <si>
    <t>1. Show the "Please enter details" field (placeholder "Please enter here") below that question</t>
  </si>
  <si>
    <t>PPAC_KELT_HQ_TC_004</t>
  </si>
  <si>
    <t>Yes + details left empty → "Please give us the details here"</t>
  </si>
  <si>
    <t>Health Questionnaire screen, 1 question = Yes (details field shown)</t>
  </si>
  <si>
    <t>1. Leave the details field empty
2. Tap "Next →"</t>
  </si>
  <si>
    <t>Q1=Yes, details=(empty)</t>
  </si>
  <si>
    <t>1. Display "Please give us the details here"; does not navigate</t>
  </si>
  <si>
    <t>PPAC_KELT_HQ_TC_005</t>
  </si>
  <si>
    <t>Select No → hide details field (State Transition)</t>
  </si>
  <si>
    <t>1. Select No on 1 question
2. Observe</t>
  </si>
  <si>
    <t>Q1=No</t>
  </si>
  <si>
    <t>1. Hide the "Please enter details" field of that question</t>
  </si>
  <si>
    <t>PPAC_KELT_HQ_TC_006</t>
  </si>
  <si>
    <t>Change Yes → No after details shown → hide field (State Transition)</t>
  </si>
  <si>
    <t>Health Questionnaire screen, 1 question = Yes (details shown)</t>
  </si>
  <si>
    <t>1. Change that question to No
2. Observe</t>
  </si>
  <si>
    <t>Q1: Yes→No</t>
  </si>
  <si>
    <t>1. Details field hidden (state reset)</t>
  </si>
  <si>
    <t>PPAC_KELT_HQ_TC_007</t>
  </si>
  <si>
    <t>All 10 questions = No → Next to Declarations</t>
  </si>
  <si>
    <t>1. Select No for all 10 questions
2. Tap "Next →"</t>
  </si>
  <si>
    <t>all=No</t>
  </si>
  <si>
    <t>1. No details field; navigate to Declarations</t>
  </si>
  <si>
    <t>PPAC_KELT_HQ_TC_008</t>
  </si>
  <si>
    <t>All 10 questions = Yes + all details filled → Next</t>
  </si>
  <si>
    <t>1. Select Yes for all 10 questions
2. Enter details for each question
3. Tap "Next →"</t>
  </si>
  <si>
    <t>all=Yes + details</t>
  </si>
  <si>
    <t>1. Each question shows a details field; filling all → navigate to Declarations</t>
  </si>
  <si>
    <t>PPAC_KELT_HQ_TC_009</t>
  </si>
  <si>
    <t>All questions unanswered → each question reports an error</t>
  </si>
  <si>
    <t>Health Questionnaire screen empty</t>
  </si>
  <si>
    <t>1. Do not answer any question
2. Tap "Next →"</t>
  </si>
  <si>
    <t>1. Each question (10 questions) displays "Please answer this question"</t>
  </si>
  <si>
    <t>PPAC_KELT_HQ_TC_010</t>
  </si>
  <si>
    <t>Display all 10 questions with correct content/order + intro verbatim</t>
  </si>
  <si>
    <t>1. Observe the intro + question list</t>
  </si>
  <si>
    <t>1. Intro "Details given are deemed relevant in the interest of your Health and Safety and allow the company to assess the risk to your health."
2. All 10 questions Q1–8, 8.1, 8.2 with correct content/order (see requirements §4.5)</t>
  </si>
  <si>
    <t>PPAC_KELT_HQ_TC_011</t>
  </si>
  <si>
    <t>Each question Yes/No radio mutually exclusive</t>
  </si>
  <si>
    <t>1. Select Yes on 1 question
2. Select No on the same question</t>
  </si>
  <si>
    <t>1. Only 1 choice active; selecting No deselects Yes</t>
  </si>
  <si>
    <t>PPAC_KELT_HQ_TC_012</t>
  </si>
  <si>
    <t>Health Questionnaire identical across CIS / Limited / Umbrella</t>
  </si>
  <si>
    <t>Enter Health Questionnaire from each branch</t>
  </si>
  <si>
    <t>1. Compare the Health Questionnaire tab across the 3 branches</t>
  </si>
  <si>
    <t>1. Content + behavior of the 10 questions identical across all 3 branches (AMB-31)</t>
  </si>
  <si>
    <t>PPAC_KELT_DECL_TC_001</t>
  </si>
  <si>
    <t>DECL</t>
  </si>
  <si>
    <t>Tick checkbox + Next → Skill card verification</t>
  </si>
  <si>
    <t>Declarations screen</t>
  </si>
  <si>
    <t>1. Tick the confirmation checkbox
2. Tap "Next →"</t>
  </si>
  <si>
    <t>checkbox = ON</t>
  </si>
  <si>
    <t>1. Navigate to Skill card verification (M07)</t>
  </si>
  <si>
    <t>PPAC_KELT_DECL_TC_002</t>
  </si>
  <si>
    <t>Checkbox not ticked + Next → error</t>
  </si>
  <si>
    <t>Declarations screen, checkbox OFF</t>
  </si>
  <si>
    <t>1. Do not tick the checkbox
2. Tap "Next →"</t>
  </si>
  <si>
    <t>checkbox = OFF</t>
  </si>
  <si>
    <t>1. Display red error "Please review and confirm these declarations to continue."; does not navigate</t>
  </si>
  <si>
    <t>PPAC_KELT_DECL_TC_003</t>
  </si>
  <si>
    <t>Link "Keltbray Privacy Policies" → open external browser</t>
  </si>
  <si>
    <t>1. Tap the link "Keltbray Privacy Policies"</t>
  </si>
  <si>
    <t>1. Open external browser to the Keltbray Privacy Policy page [URL verify during test]</t>
  </si>
  <si>
    <t>PPAC_KELT_DECL_TC_004</t>
  </si>
  <si>
    <t>Link "Keltbray GDPR Privacy Policies" → open external browser</t>
  </si>
  <si>
    <t>1. Tap the link "Keltbray GDPR Privacy Policies"</t>
  </si>
  <si>
    <t>1. Open external browser to Keltbray GDPR Privacy Policy [URL verify]</t>
  </si>
  <si>
    <t>PPAC_KELT_DECL_TC_005</t>
  </si>
  <si>
    <t>Link "{Provider} GDPR Privacy Policies" → open external browser</t>
  </si>
  <si>
    <t>1. Tap the link "{Provider} GDPR Privacy Policies" (e.g. "Riddingtons GDPR Privacy Policies")</t>
  </si>
  <si>
    <t>1. Open external browser to {Provider} GDPR Privacy Policy [URL verify]</t>
  </si>
  <si>
    <t>PPAC_KELT_DECL_TC_006</t>
  </si>
  <si>
    <t>Link #3 + checkbox text change by provider</t>
  </si>
  <si>
    <t>Enter Declarations from different branches</t>
  </si>
  <si>
    <t>1. CIS·Riddingtons → observe
2. CIS·Industrial Labour → observe
3. Umbrella → observe</t>
  </si>
  <si>
    <t>1. Link #3 + name in checkbox change by provider: Riddingtons / Industrial Labour ("…sent to Keltbray and {Provider} my payroll provider")</t>
  </si>
  <si>
    <t>PPAC_KELT_DECL_TC_007</t>
  </si>
  <si>
    <t>Body + checkbox verbatim</t>
  </si>
  <si>
    <t>1. Read the body + checkbox text</t>
  </si>
  <si>
    <t>1. Body "Please confirm you understand and agree with keltbray rules and policies:"
2. Checkbox "I can confirm that all the information is correct, and I understand my details will be sent to Keltbray and {Provider} my payroll provider"</t>
  </si>
  <si>
    <t>PPAC_KELT_SKILL_TC_001</t>
  </si>
  <si>
    <t>SKILL</t>
  </si>
  <si>
    <t>No Skill card type selected → Continue disabled</t>
  </si>
  <si>
    <t>Skill card verification screen, no type selected</t>
  </si>
  <si>
    <t>1. Observe the Continue button when no type is selected</t>
  </si>
  <si>
    <t>1. "Continue →" button disabled (greyed out); cannot be tapped</t>
  </si>
  <si>
    <t>PPAC_KELT_SKILL_TC_002</t>
  </si>
  <si>
    <t>Select Skill card type → Continue enabled</t>
  </si>
  <si>
    <t>Skill card verification screen</t>
  </si>
  <si>
    <t>1. Select 1 Skill card type
2. Observe the Continue button</t>
  </si>
  <si>
    <t>type = SIA</t>
  </si>
  <si>
    <t>1. "Continue →" button enabled (bold) after selection</t>
  </si>
  <si>
    <t>PPAC_KELT_SKILL_TC_003</t>
  </si>
  <si>
    <t>Select type + Continue → successful submission (popup)</t>
  </si>
  <si>
    <t>Skill card verification screen, type selected</t>
  </si>
  <si>
    <t>1. Select Skill card type
2. Tap "Continue →"</t>
  </si>
  <si>
    <t>1. Display popup "Your check has been submitted!" = successful submission</t>
  </si>
  <si>
    <t>PPAC_KELT_SKILL_TC_004</t>
  </si>
  <si>
    <t>Body + label verbatim</t>
  </si>
  <si>
    <t>1. Read the title + body + label</t>
  </si>
  <si>
    <t>1. Title "Skill card verification"; body "We need your skill card information to complete the compliance check."; label "Skill card type"; placeholder "Select skill card type"</t>
  </si>
  <si>
    <t>PPAC_KELT_DOC_TC_001</t>
  </si>
  <si>
    <t>DOC</t>
  </si>
  <si>
    <t>Tap "+ Upload document" → sheet "Pick your source of document"</t>
  </si>
  <si>
    <t>Your VAT Certificate field, not uploaded</t>
  </si>
  <si>
    <t>1. Tap "+ Upload document"</t>
  </si>
  <si>
    <t>1. Open bottom sheet "Pick your source of document" with 2 buttons: "Open camera" + "Upload from your device"</t>
  </si>
  <si>
    <t>PPAC_KELT_DOC_TC_002</t>
  </si>
  <si>
    <t>Open camera → "Capture your document" screen</t>
  </si>
  <si>
    <t>"Pick your source of document" sheet</t>
  </si>
  <si>
    <t>1. Tap "Open camera"</t>
  </si>
  <si>
    <t>1. Open the "Capture your document" screen + instruction "Position your VAT Certificate Document within the frame and ensure the details are clearly readable." + capture button</t>
  </si>
  <si>
    <t>PPAC_KELT_DOC_TC_003</t>
  </si>
  <si>
    <t>Capture → preview screen with Retake/Okay</t>
  </si>
  <si>
    <t>"Capture your document" screen</t>
  </si>
  <si>
    <t>1. Tap the capture button</t>
  </si>
  <si>
    <t>1. Display the preview screen "VAT Certificate Document" with the captured image + 2 buttons "Retake" / "Okay"</t>
  </si>
  <si>
    <t>PPAC_KELT_DOC_TC_004</t>
  </si>
  <si>
    <t>Retake → re-capture</t>
  </si>
  <si>
    <t>Preview screen (after capture)</t>
  </si>
  <si>
    <t>1. Tap "Retake"</t>
  </si>
  <si>
    <t>1. Return to the camera screen to re-capture</t>
  </si>
  <si>
    <t>PPAC_KELT_DOC_TC_005</t>
  </si>
  <si>
    <t>Okay → return to form, uploaded card displayed</t>
  </si>
  <si>
    <t>1. Tap "Okay"</t>
  </si>
  <si>
    <t>1. Return to the form; field displays card "VAT Certificate Document" (green ✓ icon) + trash icon</t>
  </si>
  <si>
    <t>PPAC_KELT_DOC_TC_006</t>
  </si>
  <si>
    <t>Upload from your device → open file picker</t>
  </si>
  <si>
    <t>1. Tap "Upload from your device"</t>
  </si>
  <si>
    <t>1. Open the device's file picker (select png/jpg/jpeg/doc/docx/pdf file)</t>
  </si>
  <si>
    <t>PPAC_KELT_DOC_TC_007</t>
  </si>
  <si>
    <t>Tap uploaded card → view + "Remove and Resubmit"</t>
  </si>
  <si>
    <t>Field has uploaded card "VAT Certificate Document"</t>
  </si>
  <si>
    <t>1. Tap the card</t>
  </si>
  <si>
    <t>1. Open the "VAT Certificate Document" screen to view the image + "Remove and Resubmit" button</t>
  </si>
  <si>
    <t>PPAC_KELT_DOC_TC_008</t>
  </si>
  <si>
    <t>"Remove and Resubmit" → delete &amp; re-capture/upload</t>
  </si>
  <si>
    <t>"VAT Certificate Document" view screen</t>
  </si>
  <si>
    <t>1. Tap "Remove and Resubmit"</t>
  </si>
  <si>
    <t>1. Delete the current document, allow re-capture/upload (return to sheet/camera)</t>
  </si>
  <si>
    <t>PPAC_KELT_DOC_TC_009</t>
  </si>
  <si>
    <t>Tap trash → dialog "Remove VAT Certificate Document?"</t>
  </si>
  <si>
    <t>Field has an uploaded card</t>
  </si>
  <si>
    <t>1. Tap the trash icon on the card</t>
  </si>
  <si>
    <t>1. Display dialog "Remove VAT Certificate Document?" with 2 buttons "Yes, remove it!" / "Cancel"</t>
  </si>
  <si>
    <t>PPAC_KELT_DOC_TC_010</t>
  </si>
  <si>
    <t>Delete dialog: "Yes, remove it!" deletes / "Cancel" keeps</t>
  </si>
  <si>
    <t>"Remove VAT Certificate Document?" dialog</t>
  </si>
  <si>
    <t>1. Tap "Yes, remove it!" (Case 1) / "Cancel" (Case 2)</t>
  </si>
  <si>
    <t>1. "Yes, remove it!" → delete card, field empty again
2. "Cancel" → close dialog, keep the file</t>
  </si>
  <si>
    <t>PPAC_KELT_NSITE_TC_001</t>
  </si>
  <si>
    <t>NSITE</t>
  </si>
  <si>
    <t>Select location + subcontractor → Continue → Skill card</t>
  </si>
  <si>
    <t>Select site location screen</t>
  </si>
  <si>
    <t>1. Select Select site location
2. Select Select subcontractor
3. Tap "Continue →"</t>
  </si>
  <si>
    <t>site + subcontractor (any selection)</t>
  </si>
  <si>
    <t>1. Navigate to the Skill card verification screen (N03)</t>
  </si>
  <si>
    <t>PPAC_KELT_NSITE_TC_002</t>
  </si>
  <si>
    <t>Display 2 dropdowns + checkbox + Continue</t>
  </si>
  <si>
    <t>1. Observe the screen</t>
  </si>
  <si>
    <t>1. Has "Select site location", "Select subcontractor", checkbox "I can't find my subcontractor in the list", "Continue →" button, bottom nav 4 items</t>
  </si>
  <si>
    <t>PPAC_KELT_NSKILL_TC_001</t>
  </si>
  <si>
    <t>NSKILL</t>
  </si>
  <si>
    <t>Skill card verification screen (normal)</t>
  </si>
  <si>
    <t>1. Observe the Continue button when nothing is selected</t>
  </si>
  <si>
    <t>1. "Continue →" button disabled</t>
  </si>
  <si>
    <t>PPAC_KELT_NSKILL_TC_002</t>
  </si>
  <si>
    <t>1. Display popup "Your check has been submitted!"</t>
  </si>
  <si>
    <t>PPAC_KELT_NSKILL_TC_003</t>
  </si>
  <si>
    <t>Body + helper "Not Applicable" + label verbatim</t>
  </si>
  <si>
    <t>1. Read the body, helper, label; open the dropdown</t>
  </si>
  <si>
    <t>1. Body "We need your skill card information to complete the compliance check."
2. Helper "If your trade/occupation does not require a skill card please scroll to Not Applicable."
3. Label "Skill card type:"; dropdown has option "Not Applicable"</t>
  </si>
  <si>
    <t>PPAC_KELT_NAV_TC_001</t>
  </si>
  <si>
    <t>NAV</t>
  </si>
  <si>
    <t>Partial entry → Back → return → data RESET (BR-39, different from DTSource)</t>
  </si>
  <si>
    <t>On a screen (e.g. Personal information), entered partial data</t>
  </si>
  <si>
    <t>1. Enter part of the data
2. Tap Back
3. Return to that screen</t>
  </si>
  <si>
    <t>partial data</t>
  </si>
  <si>
    <t>1. Entered data is RESET (not saved) — ⚠️ DIFFERENT from DTSource (DTSource keeps data)</t>
  </si>
  <si>
    <t>PPAC_KELT_NAV_TC_002</t>
  </si>
  <si>
    <t>Exit app mid-journey → reopen → does NOT resume</t>
  </si>
  <si>
    <t>Mid onboarding journey, entered part</t>
  </si>
  <si>
    <t>1. Exit the app
2. Reopen onboarding</t>
  </si>
  <si>
    <t>incomplete onboarding</t>
  </si>
  <si>
    <t>1. Does NOT resume — starts over, previous data lost (reset)</t>
  </si>
  <si>
    <t>PPAC_KELT_E2E_TC_001</t>
  </si>
  <si>
    <t>E2E</t>
  </si>
  <si>
    <t>E2E CIS · Riddingtons → successful submission</t>
  </si>
  <si>
    <t>Prefix keltbray → KRS</t>
  </si>
  <si>
    <t>1. WPS=CIS, provider=Riddingtons
2. Welcome → Personal info (all valid fields)
3. Health Q (all No)
4. Declarations (tick)
5. Skill card type + Continue</t>
  </si>
  <si>
    <t>NIN=AH123456L; Phone=07700900111; Bank=12345678; type=SIA</t>
  </si>
  <si>
    <t>1. Goes through the correct order, not blocked
2. Popup "Your check has been submitted!"</t>
  </si>
  <si>
    <t>PPAC_KELT_E2E_TC_002</t>
  </si>
  <si>
    <t>E2E CIS · Industrial Labour → successful submission</t>
  </si>
  <si>
    <t>1. WPS=CIS, provider=Industrial Labour
2. Welcome (Industrial Labour LTD) → Personal info
3. Health Q → Declarations → Skill card + Continue</t>
  </si>
  <si>
    <t>(same as E2E_TC_001)</t>
  </si>
  <si>
    <t>1. Popup "Your check has been submitted!"</t>
  </si>
  <si>
    <t>PPAC_KELT_E2E_TC_003</t>
  </si>
  <si>
    <t>E2E Limited (VAT=No) → successful submission</t>
  </si>
  <si>
    <t>1. WPS=Limited → Company Registration Number (12345678) + MD=Yes + VAT=No
2. Welcome → Personal info Limited
3. Health Q → Declarations → Skill card + Continue</t>
  </si>
  <si>
    <t>Reg=12345678; type=SIA</t>
  </si>
  <si>
    <t>PPAC_KELT_E2E_TC_004</t>
  </si>
  <si>
    <t>E2E Limited (VAT=Yes, upload VAT cert) → successful submission</t>
  </si>
  <si>
    <t>1. WPS=Limited → Company Trading Name + MD=No (position) + VAT=Yes
2. Personal info Limited: enter VAT Number + upload Your VAT Certificate
3. Health Q → Declarations → Skill card + Continue</t>
  </si>
  <si>
    <t>Trading="ABC Builders Ltd"; VAT Number=GB123456789; type=SIA</t>
  </si>
  <si>
    <t>PPAC_KELT_E2E_TC_005</t>
  </si>
  <si>
    <t>E2E Umbrella → successful submission</t>
  </si>
  <si>
    <t>1. WPS=Umbrella, provider=Riddingtons
2. Welcome → Personal info Umbrella (no UTR)
3. Health Q → Declarations → Skill card + Continue</t>
  </si>
  <si>
    <t>NIN=AH123456L; Bank=12345678; type=SIA</t>
  </si>
  <si>
    <t>PPAC_KELT_E2E_TC_006</t>
  </si>
  <si>
    <t>E2E Normal (Keltbray-Keltbray) → successful submission</t>
  </si>
  <si>
    <t>Prefix keltbray</t>
  </si>
  <si>
    <t>1. Select "Keltbray - Keltbray" → Continue
2. Select site location + subcontractor → Continue
3. Skill card type + Continue</t>
  </si>
  <si>
    <t>site/subcontractor; type=SIA</t>
  </si>
  <si>
    <t>1. Goes through 3 steps; popup "Your check has been submitted!"</t>
  </si>
  <si>
    <t>PPAC_KELT_E2E_TC_007</t>
  </si>
  <si>
    <t>Admin portal — submission registered successfully</t>
  </si>
  <si>
    <t>Worker just submitted on mobile (popup "Your check has been submitted!")</t>
  </si>
  <si>
    <t>1. Log in to the Admin portal
2. Find the submission of the worker who just submitted</t>
  </si>
  <si>
    <t>worker = Maya (newly created submission)</t>
  </si>
  <si>
    <t>1. Submission appears in the Admin portal, registered successfully (initial status)</t>
  </si>
  <si>
    <t>PPAC_KELT_E2E_TC_008</t>
  </si>
  <si>
    <t>Admin portal — change submission status to "go to site"</t>
  </si>
  <si>
    <t>Submission already in the Admin portal (E2E_TC_007)</t>
  </si>
  <si>
    <t>1. Open the submission
2. Change status to "go to site"
3. Save</t>
  </si>
  <si>
    <t>status = "go to site"</t>
  </si>
  <si>
    <t>1. Status updated successfully = "go to site"</t>
  </si>
  <si>
    <t>PPAC_KELT_E2E_TC_009</t>
  </si>
  <si>
    <t>Client dashboard — display submission after status = "go to site"</t>
  </si>
  <si>
    <t>Admin changed status to "go to site" (E2E_TC_008)</t>
  </si>
  <si>
    <t>1. Log in to the Client dashboard
2. Observe the submission/worker list</t>
  </si>
  <si>
    <t>1. Submission/worker displayed on the Client dashboard after status = "go to site" ( +file PDF)</t>
  </si>
  <si>
    <t>PPAC_KELT_E2E_TC_010</t>
  </si>
  <si>
    <t>Email — sent after status = "go to site"</t>
  </si>
  <si>
    <t>1. Check the inbox (worker / client)
2. Open the email</t>
  </si>
  <si>
    <t>worker/client inbox</t>
  </si>
  <si>
    <t>1. Receive a notification email after status changes to "go to site" (recipient + subject + content + PDF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</si>
</sst>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theme="1"/>
      <name val="Calibri"/>
      <family val="2"/>
    </font>
    <font>
      <b/>
      <sz val="11"/>
      <color theme="1"/>
      <name val="Calibri"/>
      <family val="2"/>
    </font>
    <font>
      <b/>
      <sz val="11"/>
      <color rgb="FFFFFFFF"/>
      <name val="Calibri"/>
      <family val="2"/>
    </font>
    <font>
      <b/>
      <sz val="16"/>
      <color rgb="FFFFFFFF"/>
      <name val="Aptos Narrow"/>
      <family val="2"/>
      <scheme val="minor"/>
    </font>
    <font>
      <b/>
      <sz val="11"/>
      <color rgb="FFFFFFFF"/>
      <name val="Aptos Narrow"/>
      <family val="2"/>
      <scheme val="minor"/>
    </font>
    <font>
      <i/>
      <sz val="11"/>
      <color rgb="FF666666"/>
      <name val="Aptos Narrow"/>
      <family val="2"/>
      <scheme val="minor"/>
    </font>
  </fonts>
  <fills count="11">
    <fill>
      <patternFill patternType="none"/>
    </fill>
    <fill>
      <patternFill patternType="gray125"/>
    </fill>
    <fill>
      <patternFill patternType="solid">
        <fgColor rgb="FF2F5496"/>
        <bgColor indexed="64"/>
      </patternFill>
    </fill>
    <fill>
      <patternFill patternType="solid">
        <fgColor rgb="FFDEEBF7"/>
        <bgColor indexed="64"/>
      </patternFill>
    </fill>
    <fill>
      <patternFill patternType="solid">
        <fgColor rgb="FFFFF2CC"/>
        <bgColor indexed="64"/>
      </patternFill>
    </fill>
    <fill>
      <patternFill patternType="solid">
        <fgColor rgb="FFFFD9B3"/>
        <bgColor indexed="64"/>
      </patternFill>
    </fill>
    <fill>
      <patternFill patternType="solid">
        <fgColor rgb="FFE2EFDA"/>
        <bgColor indexed="64"/>
      </patternFill>
    </fill>
    <fill>
      <patternFill patternType="solid">
        <fgColor rgb="FFFFC7CE"/>
        <bgColor indexed="64"/>
      </patternFill>
    </fill>
    <fill>
      <patternFill patternType="solid">
        <fgColor rgb="FF1F4E78"/>
        <bgColor indexed="64"/>
      </patternFill>
    </fill>
    <fill>
      <patternFill patternType="solid">
        <fgColor rgb="FF5B9BD5"/>
        <bgColor indexed="64"/>
      </patternFill>
    </fill>
    <fill>
      <patternFill patternType="solid">
        <fgColor rgb="FF70AD4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D9EAF7"/>
      </left>
      <right style="thin">
        <color rgb="FFD9EAF7"/>
      </right>
      <top style="thin">
        <color rgb="FFD9EAF7"/>
      </top>
      <bottom style="thin">
        <color rgb="FFD9EAF7"/>
      </bottom>
      <diagonal/>
    </border>
    <border>
      <left style="thin">
        <color rgb="FFE2F0D9"/>
      </left>
      <right style="thin">
        <color rgb="FFE2F0D9"/>
      </right>
      <top style="thin">
        <color rgb="FFE2F0D9"/>
      </top>
      <bottom style="thin">
        <color rgb="FFE2F0D9"/>
      </bottom>
      <diagonal/>
    </border>
  </borders>
  <cellStyleXfs count="1">
    <xf numFmtId="0" fontId="0" fillId="0" borderId="0"/>
  </cellStyleXfs>
  <cellXfs count="20">
    <xf numFmtId="0" fontId="0" fillId="0" borderId="0" xfId="0"/>
    <xf numFmtId="0" fontId="1" fillId="0" borderId="1" xfId="0" applyFont="1" applyBorder="1" applyAlignment="1">
      <alignment horizontal="lef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5" fillId="9" borderId="2" xfId="0" applyFont="1" applyFill="1" applyBorder="1" applyAlignment="1">
      <alignment horizontal="center"/>
    </xf>
    <xf numFmtId="0" fontId="5" fillId="10" borderId="3" xfId="0" applyFont="1" applyFill="1" applyBorder="1" applyAlignment="1">
      <alignment horizontal="center"/>
    </xf>
    <xf numFmtId="0" fontId="0" fillId="0" borderId="2" xfId="0" applyBorder="1" applyAlignment="1">
      <alignment horizontal="left"/>
    </xf>
    <xf numFmtId="3" fontId="0" fillId="0" borderId="2" xfId="0" applyNumberFormat="1" applyBorder="1" applyAlignment="1">
      <alignment horizontal="right"/>
    </xf>
    <xf numFmtId="0" fontId="0" fillId="0" borderId="3" xfId="0" applyBorder="1" applyAlignment="1">
      <alignment horizontal="left"/>
    </xf>
    <xf numFmtId="3" fontId="0" fillId="0" borderId="3" xfId="0" applyNumberFormat="1" applyBorder="1" applyAlignment="1">
      <alignment horizontal="right"/>
    </xf>
    <xf numFmtId="3" fontId="0" fillId="0" borderId="0" xfId="0" applyNumberFormat="1"/>
    <xf numFmtId="0" fontId="6" fillId="0" borderId="0" xfId="0" applyFont="1"/>
    <xf numFmtId="0" fontId="6" fillId="0" borderId="0" xfId="0" quotePrefix="1" applyFont="1"/>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vertical="center"/>
    </xf>
    <xf numFmtId="0" fontId="4" fillId="8" borderId="0" xfId="0" applyFont="1" applyFill="1" applyAlignment="1">
      <alignment horizont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B60E-42FC-4BFE-9EC7-54C5601B867A}">
  <dimension ref="A1:E8"/>
  <sheetViews>
    <sheetView tabSelected="1" workbookViewId="0">
      <selection activeCell="D4" sqref="D4:E5"/>
    </sheetView>
  </sheetViews>
  <sheetFormatPr defaultRowHeight="15"/>
  <cols>
    <col min="1" max="1" width="18.140625" customWidth="1"/>
    <col min="2" max="2" width="18.28515625" customWidth="1"/>
    <col min="4" max="5" width="18.42578125" customWidth="1"/>
  </cols>
  <sheetData>
    <row r="1" spans="1:5" ht="21">
      <c r="A1" s="19" t="s">
        <v>0</v>
      </c>
      <c r="B1" s="19"/>
      <c r="D1" s="19" t="s">
        <v>1</v>
      </c>
      <c r="E1" s="19"/>
    </row>
    <row r="3" spans="1:5">
      <c r="A3" s="7" t="s">
        <v>2</v>
      </c>
      <c r="B3" s="7" t="s">
        <v>3</v>
      </c>
      <c r="D3" s="8" t="s">
        <v>4</v>
      </c>
      <c r="E3" s="8" t="s">
        <v>3</v>
      </c>
    </row>
    <row r="4" spans="1:5">
      <c r="A4" s="9" t="s">
        <v>5</v>
      </c>
      <c r="B4" s="10">
        <f>COUNTIF('Keltbray Onboarding'!J:J,A4)</f>
        <v>62</v>
      </c>
      <c r="D4" s="11" t="s">
        <v>6</v>
      </c>
      <c r="E4" s="12">
        <f>COUNTIF('Keltbray Onboarding'!K:K,D4)</f>
        <v>129</v>
      </c>
    </row>
    <row r="5" spans="1:5">
      <c r="A5" s="9" t="s">
        <v>7</v>
      </c>
      <c r="B5" s="10">
        <f>COUNTIF('Keltbray Onboarding'!J:J,A5)</f>
        <v>6</v>
      </c>
      <c r="D5" s="11" t="s">
        <v>8</v>
      </c>
      <c r="E5" s="12">
        <f>COUNTIF('Keltbray Onboarding'!K:K,D5)</f>
        <v>9</v>
      </c>
    </row>
    <row r="6" spans="1:5">
      <c r="A6" s="9" t="s">
        <v>9</v>
      </c>
      <c r="B6" s="10">
        <f>COUNTIF('Keltbray Onboarding'!J:J,A6)</f>
        <v>60</v>
      </c>
      <c r="D6" t="s">
        <v>10</v>
      </c>
      <c r="E6" s="13">
        <f xml:space="preserve"> E4+E5</f>
        <v>138</v>
      </c>
    </row>
    <row r="7" spans="1:5">
      <c r="A7" s="9" t="s">
        <v>11</v>
      </c>
      <c r="B7" s="10">
        <f>COUNTIF('Keltbray Onboarding'!J:J,A7)</f>
        <v>12</v>
      </c>
      <c r="D7" s="14"/>
      <c r="E7" s="15"/>
    </row>
    <row r="8" spans="1:5">
      <c r="A8" t="s">
        <v>10</v>
      </c>
      <c r="B8" s="10">
        <f>B4+B5+B6+B7</f>
        <v>140</v>
      </c>
    </row>
  </sheetData>
  <mergeCells count="2">
    <mergeCell ref="A1:B1"/>
    <mergeCell ref="D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D169-9A85-40E8-88FE-C4F41795DE67}">
  <dimension ref="A1:K142"/>
  <sheetViews>
    <sheetView workbookViewId="0">
      <pane ySplit="1" topLeftCell="A42" activePane="bottomLeft" state="frozenSplit"/>
      <selection pane="bottomLeft" activeCell="K1" sqref="K1:K1048576"/>
    </sheetView>
  </sheetViews>
  <sheetFormatPr defaultRowHeight="15"/>
  <cols>
    <col min="1" max="1" width="13.7109375" customWidth="1"/>
    <col min="2" max="2" width="22.7109375" customWidth="1"/>
    <col min="3" max="4" width="12.7109375" customWidth="1"/>
    <col min="5" max="5" width="40.7109375" customWidth="1"/>
    <col min="6" max="6" width="30.7109375" customWidth="1"/>
    <col min="7" max="7" width="50.7109375" customWidth="1"/>
    <col min="8" max="8" width="28.7109375" customWidth="1"/>
    <col min="9" max="9" width="50.7109375" customWidth="1"/>
    <col min="10" max="10" width="12.7109375" customWidth="1"/>
  </cols>
  <sheetData>
    <row r="1" spans="1:11" s="18" customFormat="1" ht="30" customHeight="1">
      <c r="A1" s="16" t="s">
        <v>12</v>
      </c>
      <c r="B1" s="16" t="s">
        <v>13</v>
      </c>
      <c r="C1" s="16" t="s">
        <v>14</v>
      </c>
      <c r="D1" s="16" t="s">
        <v>15</v>
      </c>
      <c r="E1" s="16" t="s">
        <v>16</v>
      </c>
      <c r="F1" s="16" t="s">
        <v>17</v>
      </c>
      <c r="G1" s="16" t="s">
        <v>18</v>
      </c>
      <c r="H1" s="16" t="s">
        <v>19</v>
      </c>
      <c r="I1" s="16" t="s">
        <v>20</v>
      </c>
      <c r="J1" s="16" t="s">
        <v>2</v>
      </c>
      <c r="K1" s="16" t="s">
        <v>4</v>
      </c>
    </row>
    <row r="2" spans="1:11" ht="30.75">
      <c r="A2" s="2" t="s">
        <v>21</v>
      </c>
      <c r="B2" s="1" t="s">
        <v>22</v>
      </c>
      <c r="C2" s="1" t="s">
        <v>23</v>
      </c>
      <c r="D2" s="3" t="s">
        <v>9</v>
      </c>
      <c r="E2" s="1" t="s">
        <v>24</v>
      </c>
      <c r="F2" s="1" t="s">
        <v>25</v>
      </c>
      <c r="G2" s="1" t="s">
        <v>26</v>
      </c>
      <c r="H2" s="1" t="s">
        <v>27</v>
      </c>
      <c r="I2" s="1" t="s">
        <v>28</v>
      </c>
      <c r="J2" s="3" t="s">
        <v>9</v>
      </c>
      <c r="K2" s="17" t="s">
        <v>6</v>
      </c>
    </row>
    <row r="3" spans="1:11" ht="30.75">
      <c r="A3" s="2" t="s">
        <v>21</v>
      </c>
      <c r="B3" s="1" t="s">
        <v>29</v>
      </c>
      <c r="C3" s="1" t="s">
        <v>23</v>
      </c>
      <c r="D3" s="4" t="s">
        <v>5</v>
      </c>
      <c r="E3" s="1" t="s">
        <v>30</v>
      </c>
      <c r="F3" s="1" t="s">
        <v>31</v>
      </c>
      <c r="G3" s="1" t="s">
        <v>32</v>
      </c>
      <c r="H3" s="1" t="s">
        <v>33</v>
      </c>
      <c r="I3" s="1" t="s">
        <v>34</v>
      </c>
      <c r="J3" s="4" t="s">
        <v>5</v>
      </c>
      <c r="K3" s="17" t="s">
        <v>6</v>
      </c>
    </row>
    <row r="4" spans="1:11" ht="30.75">
      <c r="A4" s="2" t="s">
        <v>21</v>
      </c>
      <c r="B4" s="1" t="s">
        <v>35</v>
      </c>
      <c r="C4" s="1" t="s">
        <v>23</v>
      </c>
      <c r="D4" s="4" t="s">
        <v>5</v>
      </c>
      <c r="E4" s="1" t="s">
        <v>36</v>
      </c>
      <c r="F4" s="1" t="s">
        <v>31</v>
      </c>
      <c r="G4" s="1" t="s">
        <v>37</v>
      </c>
      <c r="H4" s="1" t="s">
        <v>38</v>
      </c>
      <c r="I4" s="1" t="s">
        <v>39</v>
      </c>
      <c r="J4" s="4" t="s">
        <v>5</v>
      </c>
      <c r="K4" s="17" t="s">
        <v>6</v>
      </c>
    </row>
    <row r="5" spans="1:11" ht="30.75">
      <c r="A5" s="2" t="s">
        <v>21</v>
      </c>
      <c r="B5" s="1" t="s">
        <v>40</v>
      </c>
      <c r="C5" s="1" t="s">
        <v>41</v>
      </c>
      <c r="D5" s="4" t="s">
        <v>5</v>
      </c>
      <c r="E5" s="1" t="s">
        <v>42</v>
      </c>
      <c r="F5" s="1" t="s">
        <v>43</v>
      </c>
      <c r="G5" s="1" t="s">
        <v>44</v>
      </c>
      <c r="H5" s="1" t="s">
        <v>45</v>
      </c>
      <c r="I5" s="1" t="s">
        <v>46</v>
      </c>
      <c r="J5" s="4" t="s">
        <v>5</v>
      </c>
      <c r="K5" s="17" t="s">
        <v>6</v>
      </c>
    </row>
    <row r="6" spans="1:11" ht="45.75">
      <c r="A6" s="2" t="s">
        <v>21</v>
      </c>
      <c r="B6" s="1" t="s">
        <v>47</v>
      </c>
      <c r="C6" s="1" t="s">
        <v>41</v>
      </c>
      <c r="D6" s="3" t="s">
        <v>9</v>
      </c>
      <c r="E6" s="1" t="s">
        <v>48</v>
      </c>
      <c r="F6" s="1" t="s">
        <v>49</v>
      </c>
      <c r="G6" s="1" t="s">
        <v>50</v>
      </c>
      <c r="H6" s="1" t="s">
        <v>51</v>
      </c>
      <c r="I6" s="1" t="s">
        <v>52</v>
      </c>
      <c r="J6" s="3" t="s">
        <v>9</v>
      </c>
      <c r="K6" s="17" t="s">
        <v>6</v>
      </c>
    </row>
    <row r="7" spans="1:11" ht="30.75">
      <c r="A7" s="2" t="s">
        <v>21</v>
      </c>
      <c r="B7" s="1" t="s">
        <v>53</v>
      </c>
      <c r="C7" s="1" t="s">
        <v>41</v>
      </c>
      <c r="D7" s="4" t="s">
        <v>5</v>
      </c>
      <c r="E7" s="1" t="s">
        <v>54</v>
      </c>
      <c r="F7" s="1" t="s">
        <v>49</v>
      </c>
      <c r="G7" s="1" t="s">
        <v>55</v>
      </c>
      <c r="H7" s="1" t="s">
        <v>56</v>
      </c>
      <c r="I7" s="1" t="s">
        <v>57</v>
      </c>
      <c r="J7" s="4" t="s">
        <v>5</v>
      </c>
      <c r="K7" s="17" t="s">
        <v>6</v>
      </c>
    </row>
    <row r="8" spans="1:11" ht="30.75">
      <c r="A8" s="2" t="s">
        <v>21</v>
      </c>
      <c r="B8" s="1" t="s">
        <v>58</v>
      </c>
      <c r="C8" s="1" t="s">
        <v>41</v>
      </c>
      <c r="D8" s="4" t="s">
        <v>5</v>
      </c>
      <c r="E8" s="1" t="s">
        <v>59</v>
      </c>
      <c r="F8" s="1" t="s">
        <v>60</v>
      </c>
      <c r="G8" s="1" t="s">
        <v>61</v>
      </c>
      <c r="H8" s="1" t="s">
        <v>62</v>
      </c>
      <c r="I8" s="1" t="s">
        <v>63</v>
      </c>
      <c r="J8" s="4" t="s">
        <v>5</v>
      </c>
      <c r="K8" s="17" t="s">
        <v>6</v>
      </c>
    </row>
    <row r="9" spans="1:11" ht="30.75">
      <c r="A9" s="2" t="s">
        <v>21</v>
      </c>
      <c r="B9" s="1" t="s">
        <v>64</v>
      </c>
      <c r="C9" s="1" t="s">
        <v>41</v>
      </c>
      <c r="D9" s="4" t="s">
        <v>5</v>
      </c>
      <c r="E9" s="1" t="s">
        <v>65</v>
      </c>
      <c r="F9" s="1" t="s">
        <v>66</v>
      </c>
      <c r="G9" s="1" t="s">
        <v>67</v>
      </c>
      <c r="H9" s="1" t="s">
        <v>68</v>
      </c>
      <c r="I9" s="1" t="s">
        <v>69</v>
      </c>
      <c r="J9" s="4" t="s">
        <v>5</v>
      </c>
      <c r="K9" s="17" t="s">
        <v>6</v>
      </c>
    </row>
    <row r="10" spans="1:11" ht="30.75">
      <c r="A10" s="2" t="s">
        <v>21</v>
      </c>
      <c r="B10" s="1" t="s">
        <v>70</v>
      </c>
      <c r="C10" s="1" t="s">
        <v>41</v>
      </c>
      <c r="D10" s="4" t="s">
        <v>5</v>
      </c>
      <c r="E10" s="1" t="s">
        <v>71</v>
      </c>
      <c r="F10" s="1" t="s">
        <v>66</v>
      </c>
      <c r="G10" s="1" t="s">
        <v>72</v>
      </c>
      <c r="H10" s="1" t="s">
        <v>73</v>
      </c>
      <c r="I10" s="1" t="s">
        <v>74</v>
      </c>
      <c r="J10" s="4" t="s">
        <v>5</v>
      </c>
      <c r="K10" s="17" t="s">
        <v>6</v>
      </c>
    </row>
    <row r="11" spans="1:11" ht="60.75">
      <c r="A11" s="2" t="s">
        <v>21</v>
      </c>
      <c r="B11" s="1" t="s">
        <v>75</v>
      </c>
      <c r="C11" s="1" t="s">
        <v>41</v>
      </c>
      <c r="D11" s="4" t="s">
        <v>5</v>
      </c>
      <c r="E11" s="1" t="s">
        <v>76</v>
      </c>
      <c r="F11" s="1" t="s">
        <v>49</v>
      </c>
      <c r="G11" s="1" t="s">
        <v>77</v>
      </c>
      <c r="H11" s="1" t="s">
        <v>78</v>
      </c>
      <c r="I11" s="1" t="s">
        <v>79</v>
      </c>
      <c r="J11" s="4" t="s">
        <v>5</v>
      </c>
      <c r="K11" s="17" t="s">
        <v>6</v>
      </c>
    </row>
    <row r="12" spans="1:11" ht="45.75">
      <c r="A12" s="2" t="s">
        <v>21</v>
      </c>
      <c r="B12" s="1" t="s">
        <v>80</v>
      </c>
      <c r="C12" s="1" t="s">
        <v>41</v>
      </c>
      <c r="D12" s="4" t="s">
        <v>5</v>
      </c>
      <c r="E12" s="1" t="s">
        <v>81</v>
      </c>
      <c r="F12" s="1" t="s">
        <v>49</v>
      </c>
      <c r="G12" s="1" t="s">
        <v>82</v>
      </c>
      <c r="H12" s="1" t="s">
        <v>83</v>
      </c>
      <c r="I12" s="1" t="s">
        <v>84</v>
      </c>
      <c r="J12" s="4" t="s">
        <v>5</v>
      </c>
      <c r="K12" s="17" t="s">
        <v>6</v>
      </c>
    </row>
    <row r="13" spans="1:11" ht="45.75">
      <c r="A13" s="2" t="s">
        <v>21</v>
      </c>
      <c r="B13" s="1" t="s">
        <v>85</v>
      </c>
      <c r="C13" s="1" t="s">
        <v>41</v>
      </c>
      <c r="D13" s="3" t="s">
        <v>9</v>
      </c>
      <c r="E13" s="1" t="s">
        <v>86</v>
      </c>
      <c r="F13" s="1" t="s">
        <v>87</v>
      </c>
      <c r="G13" s="1" t="s">
        <v>88</v>
      </c>
      <c r="H13" s="1" t="s">
        <v>89</v>
      </c>
      <c r="I13" s="1" t="s">
        <v>90</v>
      </c>
      <c r="J13" s="3" t="s">
        <v>9</v>
      </c>
      <c r="K13" s="17" t="s">
        <v>6</v>
      </c>
    </row>
    <row r="14" spans="1:11" ht="30.75">
      <c r="A14" s="2" t="s">
        <v>21</v>
      </c>
      <c r="B14" s="1" t="s">
        <v>91</v>
      </c>
      <c r="C14" s="1" t="s">
        <v>41</v>
      </c>
      <c r="D14" s="5" t="s">
        <v>7</v>
      </c>
      <c r="E14" s="1" t="s">
        <v>92</v>
      </c>
      <c r="F14" s="1" t="s">
        <v>49</v>
      </c>
      <c r="G14" s="1" t="s">
        <v>93</v>
      </c>
      <c r="H14" s="1" t="s">
        <v>51</v>
      </c>
      <c r="I14" s="1" t="s">
        <v>94</v>
      </c>
      <c r="J14" s="5" t="s">
        <v>7</v>
      </c>
      <c r="K14" s="17" t="s">
        <v>6</v>
      </c>
    </row>
    <row r="15" spans="1:11" ht="30.75">
      <c r="A15" s="2" t="s">
        <v>21</v>
      </c>
      <c r="B15" s="1" t="s">
        <v>95</v>
      </c>
      <c r="C15" s="1" t="s">
        <v>96</v>
      </c>
      <c r="D15" s="5" t="s">
        <v>7</v>
      </c>
      <c r="E15" s="1" t="s">
        <v>97</v>
      </c>
      <c r="F15" s="1" t="s">
        <v>98</v>
      </c>
      <c r="G15" s="1" t="s">
        <v>99</v>
      </c>
      <c r="H15" s="1" t="s">
        <v>51</v>
      </c>
      <c r="I15" s="1" t="s">
        <v>100</v>
      </c>
      <c r="J15" s="5" t="s">
        <v>7</v>
      </c>
      <c r="K15" s="17" t="s">
        <v>6</v>
      </c>
    </row>
    <row r="16" spans="1:11" ht="30.75">
      <c r="A16" s="2" t="s">
        <v>21</v>
      </c>
      <c r="B16" s="1" t="s">
        <v>101</v>
      </c>
      <c r="C16" s="1" t="s">
        <v>96</v>
      </c>
      <c r="D16" s="5" t="s">
        <v>7</v>
      </c>
      <c r="E16" s="1" t="s">
        <v>102</v>
      </c>
      <c r="F16" s="1" t="s">
        <v>103</v>
      </c>
      <c r="G16" s="1" t="s">
        <v>99</v>
      </c>
      <c r="H16" s="1" t="s">
        <v>51</v>
      </c>
      <c r="I16" s="1" t="s">
        <v>104</v>
      </c>
      <c r="J16" s="5" t="s">
        <v>7</v>
      </c>
      <c r="K16" s="17" t="s">
        <v>6</v>
      </c>
    </row>
    <row r="17" spans="1:11" ht="60.75">
      <c r="A17" s="2" t="s">
        <v>21</v>
      </c>
      <c r="B17" s="1" t="s">
        <v>105</v>
      </c>
      <c r="C17" s="1" t="s">
        <v>96</v>
      </c>
      <c r="D17" s="3" t="s">
        <v>9</v>
      </c>
      <c r="E17" s="1" t="s">
        <v>106</v>
      </c>
      <c r="F17" s="1" t="s">
        <v>107</v>
      </c>
      <c r="G17" s="1" t="s">
        <v>108</v>
      </c>
      <c r="H17" s="1" t="s">
        <v>51</v>
      </c>
      <c r="I17" s="1" t="s">
        <v>109</v>
      </c>
      <c r="J17" s="3" t="s">
        <v>9</v>
      </c>
      <c r="K17" s="17" t="s">
        <v>6</v>
      </c>
    </row>
    <row r="18" spans="1:11" ht="30.75">
      <c r="A18" s="2" t="s">
        <v>21</v>
      </c>
      <c r="B18" s="1" t="s">
        <v>110</v>
      </c>
      <c r="C18" s="1" t="s">
        <v>96</v>
      </c>
      <c r="D18" s="3" t="s">
        <v>9</v>
      </c>
      <c r="E18" s="1" t="s">
        <v>111</v>
      </c>
      <c r="F18" s="1" t="s">
        <v>112</v>
      </c>
      <c r="G18" s="1" t="s">
        <v>113</v>
      </c>
      <c r="H18" s="1" t="s">
        <v>51</v>
      </c>
      <c r="I18" s="1" t="s">
        <v>114</v>
      </c>
      <c r="J18" s="3" t="s">
        <v>9</v>
      </c>
      <c r="K18" s="17" t="s">
        <v>6</v>
      </c>
    </row>
    <row r="19" spans="1:11" ht="30.75">
      <c r="A19" s="2" t="s">
        <v>21</v>
      </c>
      <c r="B19" s="1" t="s">
        <v>115</v>
      </c>
      <c r="C19" s="1" t="s">
        <v>96</v>
      </c>
      <c r="D19" s="5" t="s">
        <v>7</v>
      </c>
      <c r="E19" s="1" t="s">
        <v>116</v>
      </c>
      <c r="F19" s="1" t="s">
        <v>117</v>
      </c>
      <c r="G19" s="1" t="s">
        <v>118</v>
      </c>
      <c r="H19" s="1" t="s">
        <v>51</v>
      </c>
      <c r="I19" s="1" t="s">
        <v>119</v>
      </c>
      <c r="J19" s="5" t="s">
        <v>7</v>
      </c>
      <c r="K19" s="17" t="s">
        <v>6</v>
      </c>
    </row>
    <row r="20" spans="1:11" ht="45.75">
      <c r="A20" s="2" t="s">
        <v>21</v>
      </c>
      <c r="B20" s="1" t="s">
        <v>120</v>
      </c>
      <c r="C20" s="1" t="s">
        <v>121</v>
      </c>
      <c r="D20" s="4" t="s">
        <v>5</v>
      </c>
      <c r="E20" s="1" t="s">
        <v>122</v>
      </c>
      <c r="F20" s="1" t="s">
        <v>123</v>
      </c>
      <c r="G20" s="1" t="s">
        <v>124</v>
      </c>
      <c r="H20" s="1" t="s">
        <v>51</v>
      </c>
      <c r="I20" s="1" t="s">
        <v>125</v>
      </c>
      <c r="J20" s="4" t="s">
        <v>5</v>
      </c>
      <c r="K20" s="17" t="s">
        <v>6</v>
      </c>
    </row>
    <row r="21" spans="1:11" ht="45.75">
      <c r="A21" s="2" t="s">
        <v>21</v>
      </c>
      <c r="B21" s="1" t="s">
        <v>126</v>
      </c>
      <c r="C21" s="1" t="s">
        <v>121</v>
      </c>
      <c r="D21" s="3" t="s">
        <v>9</v>
      </c>
      <c r="E21" s="1" t="s">
        <v>127</v>
      </c>
      <c r="F21" s="1" t="s">
        <v>128</v>
      </c>
      <c r="G21" s="1" t="s">
        <v>129</v>
      </c>
      <c r="H21" s="1" t="s">
        <v>51</v>
      </c>
      <c r="I21" s="1" t="s">
        <v>130</v>
      </c>
      <c r="J21" s="3" t="s">
        <v>9</v>
      </c>
      <c r="K21" s="17" t="s">
        <v>6</v>
      </c>
    </row>
    <row r="22" spans="1:11" ht="121.5">
      <c r="A22" s="2" t="s">
        <v>21</v>
      </c>
      <c r="B22" s="1" t="s">
        <v>131</v>
      </c>
      <c r="C22" s="1" t="s">
        <v>132</v>
      </c>
      <c r="D22" s="6" t="s">
        <v>11</v>
      </c>
      <c r="E22" s="1" t="s">
        <v>133</v>
      </c>
      <c r="F22" s="1" t="s">
        <v>134</v>
      </c>
      <c r="G22" s="1" t="s">
        <v>135</v>
      </c>
      <c r="H22" s="1" t="s">
        <v>136</v>
      </c>
      <c r="I22" s="1" t="s">
        <v>137</v>
      </c>
      <c r="J22" s="6" t="s">
        <v>11</v>
      </c>
      <c r="K22" s="17" t="s">
        <v>6</v>
      </c>
    </row>
    <row r="23" spans="1:11" ht="45.75">
      <c r="A23" s="2" t="s">
        <v>21</v>
      </c>
      <c r="B23" s="1" t="s">
        <v>138</v>
      </c>
      <c r="C23" s="1" t="s">
        <v>132</v>
      </c>
      <c r="D23" s="4" t="s">
        <v>5</v>
      </c>
      <c r="E23" s="1" t="s">
        <v>139</v>
      </c>
      <c r="F23" s="1" t="s">
        <v>140</v>
      </c>
      <c r="G23" s="1" t="s">
        <v>141</v>
      </c>
      <c r="H23" s="1" t="s">
        <v>142</v>
      </c>
      <c r="I23" s="1" t="s">
        <v>143</v>
      </c>
      <c r="J23" s="4" t="s">
        <v>5</v>
      </c>
      <c r="K23" s="17" t="s">
        <v>6</v>
      </c>
    </row>
    <row r="24" spans="1:11" ht="30.75">
      <c r="A24" s="2" t="s">
        <v>21</v>
      </c>
      <c r="B24" s="1" t="s">
        <v>144</v>
      </c>
      <c r="C24" s="1" t="s">
        <v>132</v>
      </c>
      <c r="D24" s="4" t="s">
        <v>5</v>
      </c>
      <c r="E24" s="1" t="s">
        <v>145</v>
      </c>
      <c r="F24" s="1" t="s">
        <v>146</v>
      </c>
      <c r="G24" s="1" t="s">
        <v>147</v>
      </c>
      <c r="H24" s="1" t="s">
        <v>51</v>
      </c>
      <c r="I24" s="1" t="s">
        <v>148</v>
      </c>
      <c r="J24" s="4" t="s">
        <v>5</v>
      </c>
      <c r="K24" s="17"/>
    </row>
    <row r="25" spans="1:11" ht="45.75">
      <c r="A25" s="2" t="s">
        <v>21</v>
      </c>
      <c r="B25" s="1" t="s">
        <v>149</v>
      </c>
      <c r="C25" s="1" t="s">
        <v>132</v>
      </c>
      <c r="D25" s="3" t="s">
        <v>9</v>
      </c>
      <c r="E25" s="1" t="s">
        <v>150</v>
      </c>
      <c r="F25" s="1" t="s">
        <v>146</v>
      </c>
      <c r="G25" s="1" t="s">
        <v>151</v>
      </c>
      <c r="H25" s="1" t="s">
        <v>51</v>
      </c>
      <c r="I25" s="1" t="s">
        <v>152</v>
      </c>
      <c r="J25" s="3" t="s">
        <v>9</v>
      </c>
      <c r="K25" s="17" t="s">
        <v>6</v>
      </c>
    </row>
    <row r="26" spans="1:11" ht="45.75">
      <c r="A26" s="2" t="s">
        <v>21</v>
      </c>
      <c r="B26" s="1" t="s">
        <v>153</v>
      </c>
      <c r="C26" s="1" t="s">
        <v>132</v>
      </c>
      <c r="D26" s="4" t="s">
        <v>5</v>
      </c>
      <c r="E26" s="1" t="s">
        <v>154</v>
      </c>
      <c r="F26" s="1" t="s">
        <v>155</v>
      </c>
      <c r="G26" s="1" t="s">
        <v>156</v>
      </c>
      <c r="H26" s="1" t="s">
        <v>51</v>
      </c>
      <c r="I26" s="1" t="s">
        <v>157</v>
      </c>
      <c r="J26" s="4" t="s">
        <v>5</v>
      </c>
      <c r="K26" s="17" t="s">
        <v>8</v>
      </c>
    </row>
    <row r="27" spans="1:11" ht="30.75">
      <c r="A27" s="2" t="s">
        <v>21</v>
      </c>
      <c r="B27" s="1" t="s">
        <v>158</v>
      </c>
      <c r="C27" s="1" t="s">
        <v>132</v>
      </c>
      <c r="D27" s="4" t="s">
        <v>5</v>
      </c>
      <c r="E27" s="1" t="s">
        <v>159</v>
      </c>
      <c r="F27" s="1" t="s">
        <v>146</v>
      </c>
      <c r="G27" s="1" t="s">
        <v>160</v>
      </c>
      <c r="H27" s="1" t="s">
        <v>161</v>
      </c>
      <c r="I27" s="1" t="s">
        <v>162</v>
      </c>
      <c r="J27" s="4" t="s">
        <v>5</v>
      </c>
      <c r="K27" s="17" t="s">
        <v>6</v>
      </c>
    </row>
    <row r="28" spans="1:11" ht="30.75">
      <c r="A28" s="2" t="s">
        <v>21</v>
      </c>
      <c r="B28" s="1" t="s">
        <v>163</v>
      </c>
      <c r="C28" s="1" t="s">
        <v>132</v>
      </c>
      <c r="D28" s="3" t="s">
        <v>9</v>
      </c>
      <c r="E28" s="1" t="s">
        <v>164</v>
      </c>
      <c r="F28" s="1" t="s">
        <v>146</v>
      </c>
      <c r="G28" s="1" t="s">
        <v>165</v>
      </c>
      <c r="H28" s="1" t="s">
        <v>166</v>
      </c>
      <c r="I28" s="1" t="s">
        <v>167</v>
      </c>
      <c r="J28" s="3" t="s">
        <v>9</v>
      </c>
      <c r="K28" s="17" t="s">
        <v>6</v>
      </c>
    </row>
    <row r="29" spans="1:11" ht="30.75">
      <c r="A29" s="2" t="s">
        <v>21</v>
      </c>
      <c r="B29" s="1" t="s">
        <v>168</v>
      </c>
      <c r="C29" s="1" t="s">
        <v>132</v>
      </c>
      <c r="D29" s="4" t="s">
        <v>5</v>
      </c>
      <c r="E29" s="1" t="s">
        <v>169</v>
      </c>
      <c r="F29" s="1" t="s">
        <v>146</v>
      </c>
      <c r="G29" s="1" t="s">
        <v>170</v>
      </c>
      <c r="H29" s="1" t="s">
        <v>171</v>
      </c>
      <c r="I29" s="1" t="s">
        <v>172</v>
      </c>
      <c r="J29" s="4" t="s">
        <v>5</v>
      </c>
      <c r="K29" s="17" t="s">
        <v>6</v>
      </c>
    </row>
    <row r="30" spans="1:11" ht="30.75">
      <c r="A30" s="2" t="s">
        <v>21</v>
      </c>
      <c r="B30" s="1" t="s">
        <v>173</v>
      </c>
      <c r="C30" s="1" t="s">
        <v>132</v>
      </c>
      <c r="D30" s="4" t="s">
        <v>5</v>
      </c>
      <c r="E30" s="1" t="s">
        <v>174</v>
      </c>
      <c r="F30" s="1" t="s">
        <v>146</v>
      </c>
      <c r="G30" s="1" t="s">
        <v>175</v>
      </c>
      <c r="H30" s="1" t="s">
        <v>176</v>
      </c>
      <c r="I30" s="1" t="s">
        <v>177</v>
      </c>
      <c r="J30" s="4" t="s">
        <v>5</v>
      </c>
      <c r="K30" s="17" t="s">
        <v>6</v>
      </c>
    </row>
    <row r="31" spans="1:11" ht="30.75">
      <c r="A31" s="2" t="s">
        <v>21</v>
      </c>
      <c r="B31" s="1" t="s">
        <v>178</v>
      </c>
      <c r="C31" s="1" t="s">
        <v>132</v>
      </c>
      <c r="D31" s="3" t="s">
        <v>9</v>
      </c>
      <c r="E31" s="1" t="s">
        <v>179</v>
      </c>
      <c r="F31" s="1" t="s">
        <v>146</v>
      </c>
      <c r="G31" s="1" t="s">
        <v>180</v>
      </c>
      <c r="H31" s="1" t="s">
        <v>181</v>
      </c>
      <c r="I31" s="1" t="s">
        <v>182</v>
      </c>
      <c r="J31" s="3" t="s">
        <v>9</v>
      </c>
      <c r="K31" s="17" t="s">
        <v>6</v>
      </c>
    </row>
    <row r="32" spans="1:11" ht="30.75">
      <c r="A32" s="2" t="s">
        <v>21</v>
      </c>
      <c r="B32" s="1" t="s">
        <v>183</v>
      </c>
      <c r="C32" s="1" t="s">
        <v>132</v>
      </c>
      <c r="D32" s="4" t="s">
        <v>5</v>
      </c>
      <c r="E32" s="1" t="s">
        <v>184</v>
      </c>
      <c r="F32" s="1" t="s">
        <v>146</v>
      </c>
      <c r="G32" s="1" t="s">
        <v>185</v>
      </c>
      <c r="H32" s="1" t="s">
        <v>186</v>
      </c>
      <c r="I32" s="1" t="s">
        <v>187</v>
      </c>
      <c r="J32" s="4" t="s">
        <v>5</v>
      </c>
      <c r="K32" s="17" t="s">
        <v>8</v>
      </c>
    </row>
    <row r="33" spans="1:11" ht="45.75">
      <c r="A33" s="2" t="s">
        <v>21</v>
      </c>
      <c r="B33" s="1" t="s">
        <v>188</v>
      </c>
      <c r="C33" s="1" t="s">
        <v>132</v>
      </c>
      <c r="D33" s="3" t="s">
        <v>9</v>
      </c>
      <c r="E33" s="1" t="s">
        <v>189</v>
      </c>
      <c r="F33" s="1" t="s">
        <v>146</v>
      </c>
      <c r="G33" s="1" t="s">
        <v>190</v>
      </c>
      <c r="H33" s="1" t="s">
        <v>191</v>
      </c>
      <c r="I33" s="1" t="s">
        <v>192</v>
      </c>
      <c r="J33" s="3" t="s">
        <v>9</v>
      </c>
      <c r="K33" s="17" t="s">
        <v>8</v>
      </c>
    </row>
    <row r="34" spans="1:11" ht="30.75">
      <c r="A34" s="2" t="s">
        <v>21</v>
      </c>
      <c r="B34" s="1" t="s">
        <v>193</v>
      </c>
      <c r="C34" s="1" t="s">
        <v>132</v>
      </c>
      <c r="D34" s="4" t="s">
        <v>5</v>
      </c>
      <c r="E34" s="1" t="s">
        <v>194</v>
      </c>
      <c r="F34" s="1" t="s">
        <v>146</v>
      </c>
      <c r="G34" s="1" t="s">
        <v>195</v>
      </c>
      <c r="H34" s="1" t="s">
        <v>196</v>
      </c>
      <c r="I34" s="1" t="s">
        <v>197</v>
      </c>
      <c r="J34" s="4" t="s">
        <v>5</v>
      </c>
      <c r="K34" s="17" t="s">
        <v>8</v>
      </c>
    </row>
    <row r="35" spans="1:11" ht="30.75">
      <c r="A35" s="2" t="s">
        <v>21</v>
      </c>
      <c r="B35" s="1" t="s">
        <v>198</v>
      </c>
      <c r="C35" s="1" t="s">
        <v>132</v>
      </c>
      <c r="D35" s="3" t="s">
        <v>9</v>
      </c>
      <c r="E35" s="1" t="s">
        <v>199</v>
      </c>
      <c r="F35" s="1" t="s">
        <v>146</v>
      </c>
      <c r="G35" s="1" t="s">
        <v>200</v>
      </c>
      <c r="H35" s="1" t="s">
        <v>201</v>
      </c>
      <c r="I35" s="1" t="s">
        <v>202</v>
      </c>
      <c r="J35" s="3" t="s">
        <v>9</v>
      </c>
      <c r="K35" s="17" t="s">
        <v>8</v>
      </c>
    </row>
    <row r="36" spans="1:11" ht="30.75">
      <c r="A36" s="2" t="s">
        <v>21</v>
      </c>
      <c r="B36" s="1" t="s">
        <v>203</v>
      </c>
      <c r="C36" s="1" t="s">
        <v>132</v>
      </c>
      <c r="D36" s="3" t="s">
        <v>9</v>
      </c>
      <c r="E36" s="1" t="s">
        <v>204</v>
      </c>
      <c r="F36" s="1" t="s">
        <v>146</v>
      </c>
      <c r="G36" s="1" t="s">
        <v>205</v>
      </c>
      <c r="H36" s="1" t="s">
        <v>206</v>
      </c>
      <c r="I36" s="1" t="s">
        <v>207</v>
      </c>
      <c r="J36" s="3" t="s">
        <v>9</v>
      </c>
      <c r="K36" s="17" t="s">
        <v>6</v>
      </c>
    </row>
    <row r="37" spans="1:11" ht="30.75">
      <c r="A37" s="2" t="s">
        <v>21</v>
      </c>
      <c r="B37" s="1" t="s">
        <v>208</v>
      </c>
      <c r="C37" s="1" t="s">
        <v>132</v>
      </c>
      <c r="D37" s="3" t="s">
        <v>9</v>
      </c>
      <c r="E37" s="1" t="s">
        <v>209</v>
      </c>
      <c r="F37" s="1" t="s">
        <v>146</v>
      </c>
      <c r="G37" s="1" t="s">
        <v>210</v>
      </c>
      <c r="H37" s="1" t="s">
        <v>211</v>
      </c>
      <c r="I37" s="1" t="s">
        <v>212</v>
      </c>
      <c r="J37" s="3" t="s">
        <v>9</v>
      </c>
      <c r="K37" s="17" t="s">
        <v>6</v>
      </c>
    </row>
    <row r="38" spans="1:11" ht="30.75">
      <c r="A38" s="2" t="s">
        <v>21</v>
      </c>
      <c r="B38" s="1" t="s">
        <v>213</v>
      </c>
      <c r="C38" s="1" t="s">
        <v>132</v>
      </c>
      <c r="D38" s="4" t="s">
        <v>5</v>
      </c>
      <c r="E38" s="1" t="s">
        <v>214</v>
      </c>
      <c r="F38" s="1" t="s">
        <v>146</v>
      </c>
      <c r="G38" s="1" t="s">
        <v>215</v>
      </c>
      <c r="H38" s="1" t="s">
        <v>216</v>
      </c>
      <c r="I38" s="1" t="s">
        <v>217</v>
      </c>
      <c r="J38" s="4" t="s">
        <v>5</v>
      </c>
      <c r="K38" s="17" t="s">
        <v>6</v>
      </c>
    </row>
    <row r="39" spans="1:11" ht="30.75">
      <c r="A39" s="2" t="s">
        <v>21</v>
      </c>
      <c r="B39" s="1" t="s">
        <v>218</v>
      </c>
      <c r="C39" s="1" t="s">
        <v>132</v>
      </c>
      <c r="D39" s="3" t="s">
        <v>9</v>
      </c>
      <c r="E39" s="1" t="s">
        <v>219</v>
      </c>
      <c r="F39" s="1" t="s">
        <v>146</v>
      </c>
      <c r="G39" s="1" t="s">
        <v>220</v>
      </c>
      <c r="H39" s="1" t="s">
        <v>221</v>
      </c>
      <c r="I39" s="1" t="s">
        <v>222</v>
      </c>
      <c r="J39" s="3" t="s">
        <v>9</v>
      </c>
      <c r="K39" s="17" t="s">
        <v>6</v>
      </c>
    </row>
    <row r="40" spans="1:11" ht="30.75">
      <c r="A40" s="2" t="s">
        <v>21</v>
      </c>
      <c r="B40" s="1" t="s">
        <v>223</v>
      </c>
      <c r="C40" s="1" t="s">
        <v>132</v>
      </c>
      <c r="D40" s="3" t="s">
        <v>9</v>
      </c>
      <c r="E40" s="1" t="s">
        <v>224</v>
      </c>
      <c r="F40" s="1" t="s">
        <v>146</v>
      </c>
      <c r="G40" s="1" t="s">
        <v>225</v>
      </c>
      <c r="H40" s="1" t="s">
        <v>226</v>
      </c>
      <c r="I40" s="1" t="s">
        <v>227</v>
      </c>
      <c r="J40" s="3" t="s">
        <v>9</v>
      </c>
      <c r="K40" s="17" t="s">
        <v>6</v>
      </c>
    </row>
    <row r="41" spans="1:11" ht="30.75">
      <c r="A41" s="2" t="s">
        <v>21</v>
      </c>
      <c r="B41" s="1" t="s">
        <v>228</v>
      </c>
      <c r="C41" s="1" t="s">
        <v>132</v>
      </c>
      <c r="D41" s="4" t="s">
        <v>5</v>
      </c>
      <c r="E41" s="1" t="s">
        <v>229</v>
      </c>
      <c r="F41" s="1" t="s">
        <v>146</v>
      </c>
      <c r="G41" s="1" t="s">
        <v>230</v>
      </c>
      <c r="H41" s="1" t="s">
        <v>231</v>
      </c>
      <c r="I41" s="1" t="s">
        <v>232</v>
      </c>
      <c r="J41" s="4" t="s">
        <v>5</v>
      </c>
      <c r="K41" s="17" t="s">
        <v>6</v>
      </c>
    </row>
    <row r="42" spans="1:11" ht="30.75">
      <c r="A42" s="2" t="s">
        <v>21</v>
      </c>
      <c r="B42" s="1" t="s">
        <v>233</v>
      </c>
      <c r="C42" s="1" t="s">
        <v>132</v>
      </c>
      <c r="D42" s="4" t="s">
        <v>5</v>
      </c>
      <c r="E42" s="1" t="s">
        <v>234</v>
      </c>
      <c r="F42" s="1" t="s">
        <v>146</v>
      </c>
      <c r="G42" s="1" t="s">
        <v>235</v>
      </c>
      <c r="H42" s="1" t="s">
        <v>236</v>
      </c>
      <c r="I42" s="1" t="s">
        <v>237</v>
      </c>
      <c r="J42" s="4" t="s">
        <v>5</v>
      </c>
      <c r="K42" s="17" t="s">
        <v>6</v>
      </c>
    </row>
    <row r="43" spans="1:11" ht="45.75">
      <c r="A43" s="2" t="s">
        <v>21</v>
      </c>
      <c r="B43" s="1" t="s">
        <v>238</v>
      </c>
      <c r="C43" s="1" t="s">
        <v>132</v>
      </c>
      <c r="D43" s="4" t="s">
        <v>5</v>
      </c>
      <c r="E43" s="1" t="s">
        <v>239</v>
      </c>
      <c r="F43" s="1" t="s">
        <v>146</v>
      </c>
      <c r="G43" s="1" t="s">
        <v>240</v>
      </c>
      <c r="H43" s="1" t="s">
        <v>241</v>
      </c>
      <c r="I43" s="1" t="s">
        <v>242</v>
      </c>
      <c r="J43" s="4" t="s">
        <v>5</v>
      </c>
      <c r="K43" s="17" t="s">
        <v>6</v>
      </c>
    </row>
    <row r="44" spans="1:11" ht="30.75">
      <c r="A44" s="2" t="s">
        <v>21</v>
      </c>
      <c r="B44" s="1" t="s">
        <v>243</v>
      </c>
      <c r="C44" s="1" t="s">
        <v>132</v>
      </c>
      <c r="D44" s="3" t="s">
        <v>9</v>
      </c>
      <c r="E44" s="1" t="s">
        <v>244</v>
      </c>
      <c r="F44" s="1" t="s">
        <v>146</v>
      </c>
      <c r="G44" s="1" t="s">
        <v>245</v>
      </c>
      <c r="H44" s="1" t="s">
        <v>246</v>
      </c>
      <c r="I44" s="1" t="s">
        <v>247</v>
      </c>
      <c r="J44" s="3" t="s">
        <v>9</v>
      </c>
      <c r="K44" s="17" t="s">
        <v>6</v>
      </c>
    </row>
    <row r="45" spans="1:11" ht="30.75">
      <c r="A45" s="2" t="s">
        <v>21</v>
      </c>
      <c r="B45" s="1" t="s">
        <v>248</v>
      </c>
      <c r="C45" s="1" t="s">
        <v>132</v>
      </c>
      <c r="D45" s="3" t="s">
        <v>9</v>
      </c>
      <c r="E45" s="1" t="s">
        <v>249</v>
      </c>
      <c r="F45" s="1" t="s">
        <v>146</v>
      </c>
      <c r="G45" s="1" t="s">
        <v>250</v>
      </c>
      <c r="H45" s="1" t="s">
        <v>251</v>
      </c>
      <c r="I45" s="1" t="s">
        <v>252</v>
      </c>
      <c r="J45" s="3" t="s">
        <v>9</v>
      </c>
      <c r="K45" s="17" t="s">
        <v>6</v>
      </c>
    </row>
    <row r="46" spans="1:11" ht="45.75">
      <c r="A46" s="2" t="s">
        <v>21</v>
      </c>
      <c r="B46" s="1" t="s">
        <v>253</v>
      </c>
      <c r="C46" s="1" t="s">
        <v>132</v>
      </c>
      <c r="D46" s="3" t="s">
        <v>9</v>
      </c>
      <c r="E46" s="1" t="s">
        <v>254</v>
      </c>
      <c r="F46" s="1" t="s">
        <v>255</v>
      </c>
      <c r="G46" s="1" t="s">
        <v>256</v>
      </c>
      <c r="H46" s="1" t="s">
        <v>257</v>
      </c>
      <c r="I46" s="1" t="s">
        <v>258</v>
      </c>
      <c r="J46" s="3" t="s">
        <v>9</v>
      </c>
      <c r="K46" s="17" t="s">
        <v>6</v>
      </c>
    </row>
    <row r="47" spans="1:11" ht="30.75">
      <c r="A47" s="2" t="s">
        <v>21</v>
      </c>
      <c r="B47" s="1" t="s">
        <v>259</v>
      </c>
      <c r="C47" s="1" t="s">
        <v>132</v>
      </c>
      <c r="D47" s="3" t="s">
        <v>9</v>
      </c>
      <c r="E47" s="1" t="s">
        <v>260</v>
      </c>
      <c r="F47" s="1" t="s">
        <v>261</v>
      </c>
      <c r="G47" s="1" t="s">
        <v>262</v>
      </c>
      <c r="H47" s="1" t="s">
        <v>51</v>
      </c>
      <c r="I47" s="1" t="s">
        <v>263</v>
      </c>
      <c r="J47" s="3" t="s">
        <v>9</v>
      </c>
      <c r="K47" s="17" t="s">
        <v>6</v>
      </c>
    </row>
    <row r="48" spans="1:11" ht="30.75">
      <c r="A48" s="2" t="s">
        <v>21</v>
      </c>
      <c r="B48" s="1" t="s">
        <v>264</v>
      </c>
      <c r="C48" s="1" t="s">
        <v>132</v>
      </c>
      <c r="D48" s="3" t="s">
        <v>9</v>
      </c>
      <c r="E48" s="1" t="s">
        <v>265</v>
      </c>
      <c r="F48" s="1" t="s">
        <v>266</v>
      </c>
      <c r="G48" s="1" t="s">
        <v>267</v>
      </c>
      <c r="H48" s="1" t="s">
        <v>268</v>
      </c>
      <c r="I48" s="1" t="s">
        <v>269</v>
      </c>
      <c r="J48" s="3" t="s">
        <v>9</v>
      </c>
      <c r="K48" s="17" t="s">
        <v>6</v>
      </c>
    </row>
    <row r="49" spans="1:11" ht="45.75">
      <c r="A49" s="2" t="s">
        <v>21</v>
      </c>
      <c r="B49" s="1" t="s">
        <v>270</v>
      </c>
      <c r="C49" s="1" t="s">
        <v>271</v>
      </c>
      <c r="D49" s="4" t="s">
        <v>5</v>
      </c>
      <c r="E49" s="1" t="s">
        <v>272</v>
      </c>
      <c r="F49" s="1" t="s">
        <v>273</v>
      </c>
      <c r="G49" s="1" t="s">
        <v>274</v>
      </c>
      <c r="H49" s="1" t="s">
        <v>45</v>
      </c>
      <c r="I49" s="1" t="s">
        <v>275</v>
      </c>
      <c r="J49" s="4" t="s">
        <v>5</v>
      </c>
      <c r="K49" s="17" t="s">
        <v>6</v>
      </c>
    </row>
    <row r="50" spans="1:11" ht="30.75">
      <c r="A50" s="2" t="s">
        <v>21</v>
      </c>
      <c r="B50" s="1" t="s">
        <v>276</v>
      </c>
      <c r="C50" s="1" t="s">
        <v>271</v>
      </c>
      <c r="D50" s="3" t="s">
        <v>9</v>
      </c>
      <c r="E50" s="1" t="s">
        <v>277</v>
      </c>
      <c r="F50" s="1" t="s">
        <v>273</v>
      </c>
      <c r="G50" s="1" t="s">
        <v>278</v>
      </c>
      <c r="H50" s="1" t="s">
        <v>51</v>
      </c>
      <c r="I50" s="1" t="s">
        <v>279</v>
      </c>
      <c r="J50" s="3" t="s">
        <v>9</v>
      </c>
      <c r="K50" s="17" t="s">
        <v>6</v>
      </c>
    </row>
    <row r="51" spans="1:11" ht="30.75">
      <c r="A51" s="2" t="s">
        <v>21</v>
      </c>
      <c r="B51" s="1" t="s">
        <v>280</v>
      </c>
      <c r="C51" s="1" t="s">
        <v>271</v>
      </c>
      <c r="D51" s="3" t="s">
        <v>9</v>
      </c>
      <c r="E51" s="1" t="s">
        <v>281</v>
      </c>
      <c r="F51" s="1" t="s">
        <v>273</v>
      </c>
      <c r="G51" s="1" t="s">
        <v>282</v>
      </c>
      <c r="H51" s="1" t="s">
        <v>51</v>
      </c>
      <c r="I51" s="1" t="s">
        <v>283</v>
      </c>
      <c r="J51" s="3" t="s">
        <v>9</v>
      </c>
      <c r="K51" s="17" t="s">
        <v>6</v>
      </c>
    </row>
    <row r="52" spans="1:11" ht="30.75">
      <c r="A52" s="2" t="s">
        <v>21</v>
      </c>
      <c r="B52" s="1" t="s">
        <v>284</v>
      </c>
      <c r="C52" s="1" t="s">
        <v>271</v>
      </c>
      <c r="D52" s="4" t="s">
        <v>5</v>
      </c>
      <c r="E52" s="1" t="s">
        <v>285</v>
      </c>
      <c r="F52" s="1" t="s">
        <v>286</v>
      </c>
      <c r="G52" s="1" t="s">
        <v>287</v>
      </c>
      <c r="H52" s="1" t="s">
        <v>288</v>
      </c>
      <c r="I52" s="1" t="s">
        <v>289</v>
      </c>
      <c r="J52" s="4" t="s">
        <v>5</v>
      </c>
      <c r="K52" s="17" t="s">
        <v>6</v>
      </c>
    </row>
    <row r="53" spans="1:11" ht="45.75">
      <c r="A53" s="2" t="s">
        <v>21</v>
      </c>
      <c r="B53" s="1" t="s">
        <v>290</v>
      </c>
      <c r="C53" s="1" t="s">
        <v>271</v>
      </c>
      <c r="D53" s="4" t="s">
        <v>5</v>
      </c>
      <c r="E53" s="1" t="s">
        <v>291</v>
      </c>
      <c r="F53" s="1" t="s">
        <v>292</v>
      </c>
      <c r="G53" s="1" t="s">
        <v>293</v>
      </c>
      <c r="H53" s="1" t="s">
        <v>294</v>
      </c>
      <c r="I53" s="1" t="s">
        <v>295</v>
      </c>
      <c r="J53" s="4" t="s">
        <v>5</v>
      </c>
      <c r="K53" s="17" t="s">
        <v>6</v>
      </c>
    </row>
    <row r="54" spans="1:11" ht="30.75">
      <c r="A54" s="2" t="s">
        <v>21</v>
      </c>
      <c r="B54" s="1" t="s">
        <v>296</v>
      </c>
      <c r="C54" s="1" t="s">
        <v>271</v>
      </c>
      <c r="D54" s="4" t="s">
        <v>5</v>
      </c>
      <c r="E54" s="1" t="s">
        <v>297</v>
      </c>
      <c r="F54" s="1" t="s">
        <v>292</v>
      </c>
      <c r="G54" s="1" t="s">
        <v>298</v>
      </c>
      <c r="H54" s="1">
        <v>12345678</v>
      </c>
      <c r="I54" s="1" t="s">
        <v>237</v>
      </c>
      <c r="J54" s="4" t="s">
        <v>5</v>
      </c>
      <c r="K54" s="17" t="s">
        <v>6</v>
      </c>
    </row>
    <row r="55" spans="1:11" ht="30.75">
      <c r="A55" s="2" t="s">
        <v>21</v>
      </c>
      <c r="B55" s="1" t="s">
        <v>299</v>
      </c>
      <c r="C55" s="1" t="s">
        <v>271</v>
      </c>
      <c r="D55" s="3" t="s">
        <v>9</v>
      </c>
      <c r="E55" s="1" t="s">
        <v>300</v>
      </c>
      <c r="F55" s="1" t="s">
        <v>292</v>
      </c>
      <c r="G55" s="1" t="s">
        <v>301</v>
      </c>
      <c r="H55" s="1" t="s">
        <v>302</v>
      </c>
      <c r="I55" s="1" t="s">
        <v>237</v>
      </c>
      <c r="J55" s="3" t="s">
        <v>9</v>
      </c>
      <c r="K55" s="17" t="s">
        <v>6</v>
      </c>
    </row>
    <row r="56" spans="1:11" ht="45.75">
      <c r="A56" s="2" t="s">
        <v>21</v>
      </c>
      <c r="B56" s="1" t="s">
        <v>303</v>
      </c>
      <c r="C56" s="1" t="s">
        <v>271</v>
      </c>
      <c r="D56" s="4" t="s">
        <v>5</v>
      </c>
      <c r="E56" s="1" t="s">
        <v>304</v>
      </c>
      <c r="F56" s="1" t="s">
        <v>305</v>
      </c>
      <c r="G56" s="1" t="s">
        <v>306</v>
      </c>
      <c r="H56" s="1" t="s">
        <v>45</v>
      </c>
      <c r="I56" s="1" t="s">
        <v>307</v>
      </c>
      <c r="J56" s="4" t="s">
        <v>5</v>
      </c>
      <c r="K56" s="17" t="s">
        <v>6</v>
      </c>
    </row>
    <row r="57" spans="1:11" ht="30.75">
      <c r="A57" s="2" t="s">
        <v>21</v>
      </c>
      <c r="B57" s="1" t="s">
        <v>308</v>
      </c>
      <c r="C57" s="1" t="s">
        <v>271</v>
      </c>
      <c r="D57" s="4" t="s">
        <v>5</v>
      </c>
      <c r="E57" s="1" t="s">
        <v>309</v>
      </c>
      <c r="F57" s="1" t="s">
        <v>310</v>
      </c>
      <c r="G57" s="1" t="s">
        <v>311</v>
      </c>
      <c r="H57" s="1" t="s">
        <v>312</v>
      </c>
      <c r="I57" s="1" t="s">
        <v>313</v>
      </c>
      <c r="J57" s="4" t="s">
        <v>5</v>
      </c>
      <c r="K57" s="17" t="s">
        <v>6</v>
      </c>
    </row>
    <row r="58" spans="1:11" ht="30.75">
      <c r="A58" s="2" t="s">
        <v>21</v>
      </c>
      <c r="B58" s="1" t="s">
        <v>314</v>
      </c>
      <c r="C58" s="1" t="s">
        <v>271</v>
      </c>
      <c r="D58" s="4" t="s">
        <v>5</v>
      </c>
      <c r="E58" s="1" t="s">
        <v>315</v>
      </c>
      <c r="F58" s="1" t="s">
        <v>316</v>
      </c>
      <c r="G58" s="1" t="s">
        <v>317</v>
      </c>
      <c r="H58" s="1" t="s">
        <v>318</v>
      </c>
      <c r="I58" s="1" t="s">
        <v>319</v>
      </c>
      <c r="J58" s="4" t="s">
        <v>5</v>
      </c>
      <c r="K58" s="17" t="s">
        <v>6</v>
      </c>
    </row>
    <row r="59" spans="1:11" ht="45.75">
      <c r="A59" s="2" t="s">
        <v>21</v>
      </c>
      <c r="B59" s="1" t="s">
        <v>320</v>
      </c>
      <c r="C59" s="1" t="s">
        <v>271</v>
      </c>
      <c r="D59" s="3" t="s">
        <v>9</v>
      </c>
      <c r="E59" s="1" t="s">
        <v>321</v>
      </c>
      <c r="F59" s="1" t="s">
        <v>322</v>
      </c>
      <c r="G59" s="1" t="s">
        <v>323</v>
      </c>
      <c r="H59" s="1" t="s">
        <v>324</v>
      </c>
      <c r="I59" s="1" t="s">
        <v>325</v>
      </c>
      <c r="J59" s="3" t="s">
        <v>9</v>
      </c>
      <c r="K59" s="17" t="s">
        <v>6</v>
      </c>
    </row>
    <row r="60" spans="1:11" ht="30.75">
      <c r="A60" s="2" t="s">
        <v>21</v>
      </c>
      <c r="B60" s="1" t="s">
        <v>326</v>
      </c>
      <c r="C60" s="1" t="s">
        <v>271</v>
      </c>
      <c r="D60" s="4" t="s">
        <v>5</v>
      </c>
      <c r="E60" s="1" t="s">
        <v>327</v>
      </c>
      <c r="F60" s="1" t="s">
        <v>310</v>
      </c>
      <c r="G60" s="1" t="s">
        <v>328</v>
      </c>
      <c r="H60" s="1" t="s">
        <v>329</v>
      </c>
      <c r="I60" s="1" t="s">
        <v>307</v>
      </c>
      <c r="J60" s="4" t="s">
        <v>5</v>
      </c>
      <c r="K60" s="17" t="s">
        <v>6</v>
      </c>
    </row>
    <row r="61" spans="1:11" ht="30.75">
      <c r="A61" s="2" t="s">
        <v>21</v>
      </c>
      <c r="B61" s="1" t="s">
        <v>330</v>
      </c>
      <c r="C61" s="1" t="s">
        <v>271</v>
      </c>
      <c r="D61" s="4" t="s">
        <v>5</v>
      </c>
      <c r="E61" s="1" t="s">
        <v>331</v>
      </c>
      <c r="F61" s="1" t="s">
        <v>332</v>
      </c>
      <c r="G61" s="1" t="s">
        <v>333</v>
      </c>
      <c r="H61" s="1" t="s">
        <v>288</v>
      </c>
      <c r="I61" s="1" t="s">
        <v>289</v>
      </c>
      <c r="J61" s="4" t="s">
        <v>5</v>
      </c>
      <c r="K61" s="17" t="s">
        <v>6</v>
      </c>
    </row>
    <row r="62" spans="1:11" ht="30.75">
      <c r="A62" s="2" t="s">
        <v>21</v>
      </c>
      <c r="B62" s="1" t="s">
        <v>334</v>
      </c>
      <c r="C62" s="1" t="s">
        <v>271</v>
      </c>
      <c r="D62" s="4" t="s">
        <v>5</v>
      </c>
      <c r="E62" s="1" t="s">
        <v>335</v>
      </c>
      <c r="F62" s="1" t="s">
        <v>336</v>
      </c>
      <c r="G62" s="1" t="s">
        <v>337</v>
      </c>
      <c r="H62" s="1" t="s">
        <v>338</v>
      </c>
      <c r="I62" s="1" t="s">
        <v>339</v>
      </c>
      <c r="J62" s="4" t="s">
        <v>5</v>
      </c>
      <c r="K62" s="17" t="s">
        <v>6</v>
      </c>
    </row>
    <row r="63" spans="1:11" ht="45.75">
      <c r="A63" s="2" t="s">
        <v>21</v>
      </c>
      <c r="B63" s="1" t="s">
        <v>340</v>
      </c>
      <c r="C63" s="1" t="s">
        <v>271</v>
      </c>
      <c r="D63" s="4" t="s">
        <v>5</v>
      </c>
      <c r="E63" s="1" t="s">
        <v>341</v>
      </c>
      <c r="F63" s="1" t="s">
        <v>342</v>
      </c>
      <c r="G63" s="1" t="s">
        <v>343</v>
      </c>
      <c r="H63" s="1" t="s">
        <v>344</v>
      </c>
      <c r="I63" s="1" t="s">
        <v>345</v>
      </c>
      <c r="J63" s="4" t="s">
        <v>5</v>
      </c>
      <c r="K63" s="17" t="s">
        <v>6</v>
      </c>
    </row>
    <row r="64" spans="1:11" ht="91.5">
      <c r="A64" s="2" t="s">
        <v>21</v>
      </c>
      <c r="B64" s="1" t="s">
        <v>346</v>
      </c>
      <c r="C64" s="1" t="s">
        <v>347</v>
      </c>
      <c r="D64" s="6" t="s">
        <v>11</v>
      </c>
      <c r="E64" s="1" t="s">
        <v>348</v>
      </c>
      <c r="F64" s="1" t="s">
        <v>349</v>
      </c>
      <c r="G64" s="1" t="s">
        <v>350</v>
      </c>
      <c r="H64" s="1" t="s">
        <v>351</v>
      </c>
      <c r="I64" s="1" t="s">
        <v>352</v>
      </c>
      <c r="J64" s="6" t="s">
        <v>11</v>
      </c>
      <c r="K64" s="17" t="s">
        <v>6</v>
      </c>
    </row>
    <row r="65" spans="1:11" ht="30.75">
      <c r="A65" s="2" t="s">
        <v>21</v>
      </c>
      <c r="B65" s="1" t="s">
        <v>353</v>
      </c>
      <c r="C65" s="1" t="s">
        <v>347</v>
      </c>
      <c r="D65" s="4" t="s">
        <v>5</v>
      </c>
      <c r="E65" s="1" t="s">
        <v>354</v>
      </c>
      <c r="F65" s="1" t="s">
        <v>355</v>
      </c>
      <c r="G65" s="1" t="s">
        <v>356</v>
      </c>
      <c r="H65" s="1" t="s">
        <v>142</v>
      </c>
      <c r="I65" s="1" t="s">
        <v>357</v>
      </c>
      <c r="J65" s="4" t="s">
        <v>5</v>
      </c>
      <c r="K65" s="17" t="s">
        <v>6</v>
      </c>
    </row>
    <row r="66" spans="1:11" ht="30.75">
      <c r="A66" s="2" t="s">
        <v>21</v>
      </c>
      <c r="B66" s="1" t="s">
        <v>358</v>
      </c>
      <c r="C66" s="1" t="s">
        <v>347</v>
      </c>
      <c r="D66" s="4" t="s">
        <v>5</v>
      </c>
      <c r="E66" s="1" t="s">
        <v>359</v>
      </c>
      <c r="F66" s="1" t="s">
        <v>360</v>
      </c>
      <c r="G66" s="1" t="s">
        <v>361</v>
      </c>
      <c r="H66" s="1" t="s">
        <v>51</v>
      </c>
      <c r="I66" s="1" t="s">
        <v>362</v>
      </c>
      <c r="J66" s="4" t="s">
        <v>5</v>
      </c>
      <c r="K66" s="17" t="s">
        <v>8</v>
      </c>
    </row>
    <row r="67" spans="1:11" ht="45.75">
      <c r="A67" s="2" t="s">
        <v>21</v>
      </c>
      <c r="B67" s="1" t="s">
        <v>363</v>
      </c>
      <c r="C67" s="1" t="s">
        <v>347</v>
      </c>
      <c r="D67" s="3" t="s">
        <v>9</v>
      </c>
      <c r="E67" s="1" t="s">
        <v>364</v>
      </c>
      <c r="F67" s="1" t="s">
        <v>360</v>
      </c>
      <c r="G67" s="1" t="s">
        <v>365</v>
      </c>
      <c r="H67" s="1" t="s">
        <v>51</v>
      </c>
      <c r="I67" s="1" t="s">
        <v>366</v>
      </c>
      <c r="J67" s="3" t="s">
        <v>9</v>
      </c>
      <c r="K67" s="17" t="s">
        <v>6</v>
      </c>
    </row>
    <row r="68" spans="1:11" ht="30.75">
      <c r="A68" s="2" t="s">
        <v>21</v>
      </c>
      <c r="B68" s="1" t="s">
        <v>367</v>
      </c>
      <c r="C68" s="1" t="s">
        <v>347</v>
      </c>
      <c r="D68" s="3" t="s">
        <v>9</v>
      </c>
      <c r="E68" s="1" t="s">
        <v>368</v>
      </c>
      <c r="F68" s="1" t="s">
        <v>360</v>
      </c>
      <c r="G68" s="1" t="s">
        <v>369</v>
      </c>
      <c r="H68" s="1" t="s">
        <v>51</v>
      </c>
      <c r="I68" s="1" t="s">
        <v>370</v>
      </c>
      <c r="J68" s="3" t="s">
        <v>9</v>
      </c>
      <c r="K68" s="17" t="s">
        <v>6</v>
      </c>
    </row>
    <row r="69" spans="1:11" ht="45.75">
      <c r="A69" s="2" t="s">
        <v>21</v>
      </c>
      <c r="B69" s="1" t="s">
        <v>371</v>
      </c>
      <c r="C69" s="1" t="s">
        <v>347</v>
      </c>
      <c r="D69" s="3" t="s">
        <v>9</v>
      </c>
      <c r="E69" s="1" t="s">
        <v>372</v>
      </c>
      <c r="F69" s="1" t="s">
        <v>373</v>
      </c>
      <c r="G69" s="1" t="s">
        <v>374</v>
      </c>
      <c r="H69" s="1" t="s">
        <v>375</v>
      </c>
      <c r="I69" s="1" t="s">
        <v>376</v>
      </c>
      <c r="J69" s="3" t="s">
        <v>9</v>
      </c>
      <c r="K69" s="17" t="s">
        <v>6</v>
      </c>
    </row>
    <row r="70" spans="1:11" ht="45.75">
      <c r="A70" s="2" t="s">
        <v>21</v>
      </c>
      <c r="B70" s="1" t="s">
        <v>377</v>
      </c>
      <c r="C70" s="1" t="s">
        <v>347</v>
      </c>
      <c r="D70" s="3" t="s">
        <v>9</v>
      </c>
      <c r="E70" s="1" t="s">
        <v>378</v>
      </c>
      <c r="F70" s="1" t="s">
        <v>379</v>
      </c>
      <c r="G70" s="1" t="s">
        <v>380</v>
      </c>
      <c r="H70" s="1" t="s">
        <v>381</v>
      </c>
      <c r="I70" s="1" t="s">
        <v>382</v>
      </c>
      <c r="J70" s="3" t="s">
        <v>9</v>
      </c>
      <c r="K70" s="17" t="s">
        <v>6</v>
      </c>
    </row>
    <row r="71" spans="1:11" ht="30.75">
      <c r="A71" s="2" t="s">
        <v>21</v>
      </c>
      <c r="B71" s="1" t="s">
        <v>383</v>
      </c>
      <c r="C71" s="1" t="s">
        <v>347</v>
      </c>
      <c r="D71" s="4" t="s">
        <v>5</v>
      </c>
      <c r="E71" s="1" t="s">
        <v>384</v>
      </c>
      <c r="F71" s="1" t="s">
        <v>385</v>
      </c>
      <c r="G71" s="1" t="s">
        <v>386</v>
      </c>
      <c r="H71" s="1" t="s">
        <v>387</v>
      </c>
      <c r="I71" s="1" t="s">
        <v>388</v>
      </c>
      <c r="J71" s="4" t="s">
        <v>5</v>
      </c>
      <c r="K71" s="17" t="s">
        <v>6</v>
      </c>
    </row>
    <row r="72" spans="1:11" ht="30.75">
      <c r="A72" s="2" t="s">
        <v>21</v>
      </c>
      <c r="B72" s="1" t="s">
        <v>389</v>
      </c>
      <c r="C72" s="1" t="s">
        <v>347</v>
      </c>
      <c r="D72" s="3" t="s">
        <v>9</v>
      </c>
      <c r="E72" s="1" t="s">
        <v>390</v>
      </c>
      <c r="F72" s="1" t="s">
        <v>391</v>
      </c>
      <c r="G72" s="1" t="s">
        <v>386</v>
      </c>
      <c r="H72" s="1" t="s">
        <v>392</v>
      </c>
      <c r="I72" s="1" t="s">
        <v>393</v>
      </c>
      <c r="J72" s="3" t="s">
        <v>9</v>
      </c>
      <c r="K72" s="17" t="s">
        <v>6</v>
      </c>
    </row>
    <row r="73" spans="1:11" ht="47.25">
      <c r="A73" s="2" t="s">
        <v>21</v>
      </c>
      <c r="B73" s="1" t="s">
        <v>394</v>
      </c>
      <c r="C73" s="1" t="s">
        <v>347</v>
      </c>
      <c r="D73" s="4" t="s">
        <v>5</v>
      </c>
      <c r="E73" s="1" t="s">
        <v>395</v>
      </c>
      <c r="F73" s="1" t="s">
        <v>396</v>
      </c>
      <c r="G73" s="1" t="s">
        <v>397</v>
      </c>
      <c r="H73" s="1" t="s">
        <v>398</v>
      </c>
      <c r="I73" s="1" t="s">
        <v>399</v>
      </c>
      <c r="J73" s="4" t="s">
        <v>5</v>
      </c>
      <c r="K73" s="17" t="s">
        <v>6</v>
      </c>
    </row>
    <row r="74" spans="1:11" ht="30.75">
      <c r="A74" s="2" t="s">
        <v>21</v>
      </c>
      <c r="B74" s="1" t="s">
        <v>400</v>
      </c>
      <c r="C74" s="1" t="s">
        <v>347</v>
      </c>
      <c r="D74" s="3" t="s">
        <v>9</v>
      </c>
      <c r="E74" s="1" t="s">
        <v>169</v>
      </c>
      <c r="F74" s="1" t="s">
        <v>360</v>
      </c>
      <c r="G74" s="1" t="s">
        <v>401</v>
      </c>
      <c r="H74" s="1" t="s">
        <v>402</v>
      </c>
      <c r="I74" s="1" t="s">
        <v>172</v>
      </c>
      <c r="J74" s="3" t="s">
        <v>9</v>
      </c>
      <c r="K74" s="17" t="s">
        <v>6</v>
      </c>
    </row>
    <row r="75" spans="1:11" ht="30.75">
      <c r="A75" s="2" t="s">
        <v>21</v>
      </c>
      <c r="B75" s="1" t="s">
        <v>403</v>
      </c>
      <c r="C75" s="1" t="s">
        <v>347</v>
      </c>
      <c r="D75" s="3" t="s">
        <v>9</v>
      </c>
      <c r="E75" s="1" t="s">
        <v>404</v>
      </c>
      <c r="F75" s="1" t="s">
        <v>360</v>
      </c>
      <c r="G75" s="1" t="s">
        <v>230</v>
      </c>
      <c r="H75" s="1" t="s">
        <v>231</v>
      </c>
      <c r="I75" s="1" t="s">
        <v>405</v>
      </c>
      <c r="J75" s="3" t="s">
        <v>9</v>
      </c>
      <c r="K75" s="17" t="s">
        <v>6</v>
      </c>
    </row>
    <row r="76" spans="1:11" ht="30.75">
      <c r="A76" s="2" t="s">
        <v>21</v>
      </c>
      <c r="B76" s="1" t="s">
        <v>406</v>
      </c>
      <c r="C76" s="1" t="s">
        <v>347</v>
      </c>
      <c r="D76" s="3" t="s">
        <v>9</v>
      </c>
      <c r="E76" s="1" t="s">
        <v>407</v>
      </c>
      <c r="F76" s="1" t="s">
        <v>360</v>
      </c>
      <c r="G76" s="1" t="s">
        <v>240</v>
      </c>
      <c r="H76" s="1" t="s">
        <v>241</v>
      </c>
      <c r="I76" s="1" t="s">
        <v>408</v>
      </c>
      <c r="J76" s="3" t="s">
        <v>9</v>
      </c>
      <c r="K76" s="17" t="s">
        <v>6</v>
      </c>
    </row>
    <row r="77" spans="1:11" ht="30.75">
      <c r="A77" s="2" t="s">
        <v>21</v>
      </c>
      <c r="B77" s="1" t="s">
        <v>409</v>
      </c>
      <c r="C77" s="1" t="s">
        <v>347</v>
      </c>
      <c r="D77" s="3" t="s">
        <v>9</v>
      </c>
      <c r="E77" s="1" t="s">
        <v>410</v>
      </c>
      <c r="F77" s="1" t="s">
        <v>360</v>
      </c>
      <c r="G77" s="1" t="s">
        <v>411</v>
      </c>
      <c r="H77" s="1" t="s">
        <v>288</v>
      </c>
      <c r="I77" s="1" t="s">
        <v>412</v>
      </c>
      <c r="J77" s="3" t="s">
        <v>9</v>
      </c>
      <c r="K77" s="17" t="s">
        <v>6</v>
      </c>
    </row>
    <row r="78" spans="1:11" ht="30.75">
      <c r="A78" s="2" t="s">
        <v>21</v>
      </c>
      <c r="B78" s="1" t="s">
        <v>413</v>
      </c>
      <c r="C78" s="1" t="s">
        <v>347</v>
      </c>
      <c r="D78" s="3" t="s">
        <v>9</v>
      </c>
      <c r="E78" s="1" t="s">
        <v>414</v>
      </c>
      <c r="F78" s="1" t="s">
        <v>360</v>
      </c>
      <c r="G78" s="1" t="s">
        <v>415</v>
      </c>
      <c r="H78" s="1" t="s">
        <v>288</v>
      </c>
      <c r="I78" s="1" t="s">
        <v>416</v>
      </c>
      <c r="J78" s="3" t="s">
        <v>9</v>
      </c>
      <c r="K78" s="17" t="s">
        <v>6</v>
      </c>
    </row>
    <row r="79" spans="1:11" ht="30.75">
      <c r="A79" s="2" t="s">
        <v>21</v>
      </c>
      <c r="B79" s="1" t="s">
        <v>417</v>
      </c>
      <c r="C79" s="1" t="s">
        <v>347</v>
      </c>
      <c r="D79" s="3" t="s">
        <v>9</v>
      </c>
      <c r="E79" s="1" t="s">
        <v>219</v>
      </c>
      <c r="F79" s="1" t="s">
        <v>360</v>
      </c>
      <c r="G79" s="1" t="s">
        <v>220</v>
      </c>
      <c r="H79" s="1" t="s">
        <v>221</v>
      </c>
      <c r="I79" s="1" t="s">
        <v>222</v>
      </c>
      <c r="J79" s="3" t="s">
        <v>9</v>
      </c>
      <c r="K79" s="17" t="s">
        <v>6</v>
      </c>
    </row>
    <row r="80" spans="1:11" ht="30.75">
      <c r="A80" s="2" t="s">
        <v>21</v>
      </c>
      <c r="B80" s="1" t="s">
        <v>418</v>
      </c>
      <c r="C80" s="1" t="s">
        <v>347</v>
      </c>
      <c r="D80" s="3" t="s">
        <v>9</v>
      </c>
      <c r="E80" s="1" t="s">
        <v>254</v>
      </c>
      <c r="F80" s="1" t="s">
        <v>419</v>
      </c>
      <c r="G80" s="1" t="s">
        <v>420</v>
      </c>
      <c r="H80" s="1" t="s">
        <v>421</v>
      </c>
      <c r="I80" s="1" t="s">
        <v>422</v>
      </c>
      <c r="J80" s="3" t="s">
        <v>9</v>
      </c>
      <c r="K80" s="17" t="s">
        <v>6</v>
      </c>
    </row>
    <row r="81" spans="1:11" ht="30.75">
      <c r="A81" s="2" t="s">
        <v>21</v>
      </c>
      <c r="B81" s="1" t="s">
        <v>423</v>
      </c>
      <c r="C81" s="1" t="s">
        <v>347</v>
      </c>
      <c r="D81" s="4" t="s">
        <v>5</v>
      </c>
      <c r="E81" s="1" t="s">
        <v>424</v>
      </c>
      <c r="F81" s="1" t="s">
        <v>425</v>
      </c>
      <c r="G81" s="1" t="s">
        <v>426</v>
      </c>
      <c r="H81" s="1" t="s">
        <v>427</v>
      </c>
      <c r="I81" s="1" t="s">
        <v>428</v>
      </c>
      <c r="J81" s="4" t="s">
        <v>5</v>
      </c>
      <c r="K81" s="17" t="s">
        <v>6</v>
      </c>
    </row>
    <row r="82" spans="1:11" ht="76.5">
      <c r="A82" s="2" t="s">
        <v>21</v>
      </c>
      <c r="B82" s="1" t="s">
        <v>429</v>
      </c>
      <c r="C82" s="1" t="s">
        <v>430</v>
      </c>
      <c r="D82" s="6" t="s">
        <v>11</v>
      </c>
      <c r="E82" s="1" t="s">
        <v>431</v>
      </c>
      <c r="F82" s="1" t="s">
        <v>432</v>
      </c>
      <c r="G82" s="1" t="s">
        <v>433</v>
      </c>
      <c r="H82" s="1" t="s">
        <v>434</v>
      </c>
      <c r="I82" s="1" t="s">
        <v>352</v>
      </c>
      <c r="J82" s="6" t="s">
        <v>11</v>
      </c>
      <c r="K82" s="17" t="s">
        <v>6</v>
      </c>
    </row>
    <row r="83" spans="1:11" ht="30.75">
      <c r="A83" s="2" t="s">
        <v>21</v>
      </c>
      <c r="B83" s="1" t="s">
        <v>435</v>
      </c>
      <c r="C83" s="1" t="s">
        <v>430</v>
      </c>
      <c r="D83" s="4" t="s">
        <v>5</v>
      </c>
      <c r="E83" s="1" t="s">
        <v>354</v>
      </c>
      <c r="F83" s="1" t="s">
        <v>436</v>
      </c>
      <c r="G83" s="1" t="s">
        <v>356</v>
      </c>
      <c r="H83" s="1" t="s">
        <v>142</v>
      </c>
      <c r="I83" s="1" t="s">
        <v>357</v>
      </c>
      <c r="J83" s="4" t="s">
        <v>5</v>
      </c>
      <c r="K83" s="17" t="s">
        <v>6</v>
      </c>
    </row>
    <row r="84" spans="1:11" ht="30.75">
      <c r="A84" s="2" t="s">
        <v>21</v>
      </c>
      <c r="B84" s="1" t="s">
        <v>437</v>
      </c>
      <c r="C84" s="1" t="s">
        <v>430</v>
      </c>
      <c r="D84" s="4" t="s">
        <v>5</v>
      </c>
      <c r="E84" s="1" t="s">
        <v>438</v>
      </c>
      <c r="F84" s="1" t="s">
        <v>439</v>
      </c>
      <c r="G84" s="1" t="s">
        <v>440</v>
      </c>
      <c r="H84" s="1" t="s">
        <v>51</v>
      </c>
      <c r="I84" s="1" t="s">
        <v>441</v>
      </c>
      <c r="J84" s="4" t="s">
        <v>5</v>
      </c>
      <c r="K84" s="17" t="s">
        <v>8</v>
      </c>
    </row>
    <row r="85" spans="1:11" ht="30.75">
      <c r="A85" s="2" t="s">
        <v>21</v>
      </c>
      <c r="B85" s="1" t="s">
        <v>442</v>
      </c>
      <c r="C85" s="1" t="s">
        <v>430</v>
      </c>
      <c r="D85" s="3" t="s">
        <v>9</v>
      </c>
      <c r="E85" s="1" t="s">
        <v>443</v>
      </c>
      <c r="F85" s="1" t="s">
        <v>439</v>
      </c>
      <c r="G85" s="1" t="s">
        <v>444</v>
      </c>
      <c r="H85" s="1" t="s">
        <v>51</v>
      </c>
      <c r="I85" s="1" t="s">
        <v>445</v>
      </c>
      <c r="J85" s="3" t="s">
        <v>9</v>
      </c>
      <c r="K85" s="17" t="s">
        <v>6</v>
      </c>
    </row>
    <row r="86" spans="1:11" ht="30.75">
      <c r="A86" s="2" t="s">
        <v>21</v>
      </c>
      <c r="B86" s="1" t="s">
        <v>446</v>
      </c>
      <c r="C86" s="1" t="s">
        <v>430</v>
      </c>
      <c r="D86" s="3" t="s">
        <v>9</v>
      </c>
      <c r="E86" s="1" t="s">
        <v>447</v>
      </c>
      <c r="F86" s="1" t="s">
        <v>439</v>
      </c>
      <c r="G86" s="1" t="s">
        <v>448</v>
      </c>
      <c r="H86" s="1" t="s">
        <v>51</v>
      </c>
      <c r="I86" s="1" t="s">
        <v>449</v>
      </c>
      <c r="J86" s="3" t="s">
        <v>9</v>
      </c>
      <c r="K86" s="17" t="s">
        <v>6</v>
      </c>
    </row>
    <row r="87" spans="1:11" ht="45.75">
      <c r="A87" s="2" t="s">
        <v>21</v>
      </c>
      <c r="B87" s="1" t="s">
        <v>450</v>
      </c>
      <c r="C87" s="1" t="s">
        <v>430</v>
      </c>
      <c r="D87" s="3" t="s">
        <v>9</v>
      </c>
      <c r="E87" s="1" t="s">
        <v>451</v>
      </c>
      <c r="F87" s="1" t="s">
        <v>439</v>
      </c>
      <c r="G87" s="1" t="s">
        <v>452</v>
      </c>
      <c r="H87" s="1" t="s">
        <v>51</v>
      </c>
      <c r="I87" s="1" t="s">
        <v>453</v>
      </c>
      <c r="J87" s="3" t="s">
        <v>9</v>
      </c>
      <c r="K87" s="17" t="s">
        <v>6</v>
      </c>
    </row>
    <row r="88" spans="1:11" ht="30.75">
      <c r="A88" s="2" t="s">
        <v>21</v>
      </c>
      <c r="B88" s="1" t="s">
        <v>454</v>
      </c>
      <c r="C88" s="1" t="s">
        <v>430</v>
      </c>
      <c r="D88" s="4" t="s">
        <v>5</v>
      </c>
      <c r="E88" s="1" t="s">
        <v>455</v>
      </c>
      <c r="F88" s="1" t="s">
        <v>439</v>
      </c>
      <c r="G88" s="1" t="s">
        <v>456</v>
      </c>
      <c r="H88" s="1" t="s">
        <v>186</v>
      </c>
      <c r="I88" s="1" t="s">
        <v>457</v>
      </c>
      <c r="J88" s="4" t="s">
        <v>5</v>
      </c>
      <c r="K88" s="17" t="s">
        <v>8</v>
      </c>
    </row>
    <row r="89" spans="1:11" ht="30.75">
      <c r="A89" s="2" t="s">
        <v>21</v>
      </c>
      <c r="B89" s="1" t="s">
        <v>458</v>
      </c>
      <c r="C89" s="1" t="s">
        <v>430</v>
      </c>
      <c r="D89" s="3" t="s">
        <v>9</v>
      </c>
      <c r="E89" s="1" t="s">
        <v>459</v>
      </c>
      <c r="F89" s="1" t="s">
        <v>439</v>
      </c>
      <c r="G89" s="1" t="s">
        <v>401</v>
      </c>
      <c r="H89" s="1" t="s">
        <v>402</v>
      </c>
      <c r="I89" s="1" t="s">
        <v>460</v>
      </c>
      <c r="J89" s="3" t="s">
        <v>9</v>
      </c>
      <c r="K89" s="17" t="s">
        <v>6</v>
      </c>
    </row>
    <row r="90" spans="1:11" ht="30.75">
      <c r="A90" s="2" t="s">
        <v>21</v>
      </c>
      <c r="B90" s="1" t="s">
        <v>461</v>
      </c>
      <c r="C90" s="1" t="s">
        <v>430</v>
      </c>
      <c r="D90" s="3" t="s">
        <v>9</v>
      </c>
      <c r="E90" s="1" t="s">
        <v>462</v>
      </c>
      <c r="F90" s="1" t="s">
        <v>439</v>
      </c>
      <c r="G90" s="1" t="s">
        <v>240</v>
      </c>
      <c r="H90" s="1" t="s">
        <v>241</v>
      </c>
      <c r="I90" s="1" t="s">
        <v>408</v>
      </c>
      <c r="J90" s="3" t="s">
        <v>9</v>
      </c>
      <c r="K90" s="17" t="s">
        <v>6</v>
      </c>
    </row>
    <row r="91" spans="1:11" ht="30.75">
      <c r="A91" s="2" t="s">
        <v>21</v>
      </c>
      <c r="B91" s="1" t="s">
        <v>463</v>
      </c>
      <c r="C91" s="1" t="s">
        <v>430</v>
      </c>
      <c r="D91" s="3" t="s">
        <v>9</v>
      </c>
      <c r="E91" s="1" t="s">
        <v>410</v>
      </c>
      <c r="F91" s="1" t="s">
        <v>439</v>
      </c>
      <c r="G91" s="1" t="s">
        <v>411</v>
      </c>
      <c r="H91" s="1" t="s">
        <v>288</v>
      </c>
      <c r="I91" s="1" t="s">
        <v>464</v>
      </c>
      <c r="J91" s="3" t="s">
        <v>9</v>
      </c>
      <c r="K91" s="17" t="s">
        <v>6</v>
      </c>
    </row>
    <row r="92" spans="1:11" ht="45.75">
      <c r="A92" s="2" t="s">
        <v>21</v>
      </c>
      <c r="B92" s="1" t="s">
        <v>465</v>
      </c>
      <c r="C92" s="1" t="s">
        <v>466</v>
      </c>
      <c r="D92" s="6" t="s">
        <v>11</v>
      </c>
      <c r="E92" s="1" t="s">
        <v>467</v>
      </c>
      <c r="F92" s="1" t="s">
        <v>468</v>
      </c>
      <c r="G92" s="1" t="s">
        <v>469</v>
      </c>
      <c r="H92" s="1" t="s">
        <v>470</v>
      </c>
      <c r="I92" s="1" t="s">
        <v>471</v>
      </c>
      <c r="J92" s="6" t="s">
        <v>11</v>
      </c>
      <c r="K92" s="17" t="s">
        <v>6</v>
      </c>
    </row>
    <row r="93" spans="1:11" ht="45.75">
      <c r="A93" s="2" t="s">
        <v>21</v>
      </c>
      <c r="B93" s="1" t="s">
        <v>472</v>
      </c>
      <c r="C93" s="1" t="s">
        <v>466</v>
      </c>
      <c r="D93" s="4" t="s">
        <v>5</v>
      </c>
      <c r="E93" s="1" t="s">
        <v>473</v>
      </c>
      <c r="F93" s="1" t="s">
        <v>468</v>
      </c>
      <c r="G93" s="1" t="s">
        <v>474</v>
      </c>
      <c r="H93" s="1" t="s">
        <v>475</v>
      </c>
      <c r="I93" s="1" t="s">
        <v>476</v>
      </c>
      <c r="J93" s="4" t="s">
        <v>5</v>
      </c>
      <c r="K93" s="17" t="s">
        <v>6</v>
      </c>
    </row>
    <row r="94" spans="1:11" ht="30.75">
      <c r="A94" s="2" t="s">
        <v>21</v>
      </c>
      <c r="B94" s="1" t="s">
        <v>477</v>
      </c>
      <c r="C94" s="1" t="s">
        <v>466</v>
      </c>
      <c r="D94" s="4" t="s">
        <v>5</v>
      </c>
      <c r="E94" s="1" t="s">
        <v>478</v>
      </c>
      <c r="F94" s="1" t="s">
        <v>468</v>
      </c>
      <c r="G94" s="1" t="s">
        <v>479</v>
      </c>
      <c r="H94" s="1" t="s">
        <v>480</v>
      </c>
      <c r="I94" s="1" t="s">
        <v>481</v>
      </c>
      <c r="J94" s="4" t="s">
        <v>5</v>
      </c>
      <c r="K94" s="17" t="s">
        <v>6</v>
      </c>
    </row>
    <row r="95" spans="1:11" ht="45.75">
      <c r="A95" s="2" t="s">
        <v>21</v>
      </c>
      <c r="B95" s="1" t="s">
        <v>482</v>
      </c>
      <c r="C95" s="1" t="s">
        <v>466</v>
      </c>
      <c r="D95" s="4" t="s">
        <v>5</v>
      </c>
      <c r="E95" s="1" t="s">
        <v>483</v>
      </c>
      <c r="F95" s="1" t="s">
        <v>484</v>
      </c>
      <c r="G95" s="1" t="s">
        <v>485</v>
      </c>
      <c r="H95" s="1" t="s">
        <v>486</v>
      </c>
      <c r="I95" s="1" t="s">
        <v>487</v>
      </c>
      <c r="J95" s="4" t="s">
        <v>5</v>
      </c>
      <c r="K95" s="17" t="s">
        <v>6</v>
      </c>
    </row>
    <row r="96" spans="1:11" ht="30.75">
      <c r="A96" s="2" t="s">
        <v>21</v>
      </c>
      <c r="B96" s="1" t="s">
        <v>488</v>
      </c>
      <c r="C96" s="1" t="s">
        <v>466</v>
      </c>
      <c r="D96" s="3" t="s">
        <v>9</v>
      </c>
      <c r="E96" s="1" t="s">
        <v>489</v>
      </c>
      <c r="F96" s="1" t="s">
        <v>468</v>
      </c>
      <c r="G96" s="1" t="s">
        <v>490</v>
      </c>
      <c r="H96" s="1" t="s">
        <v>491</v>
      </c>
      <c r="I96" s="1" t="s">
        <v>492</v>
      </c>
      <c r="J96" s="3" t="s">
        <v>9</v>
      </c>
      <c r="K96" s="17" t="s">
        <v>6</v>
      </c>
    </row>
    <row r="97" spans="1:11" ht="30.75">
      <c r="A97" s="2" t="s">
        <v>21</v>
      </c>
      <c r="B97" s="1" t="s">
        <v>493</v>
      </c>
      <c r="C97" s="1" t="s">
        <v>466</v>
      </c>
      <c r="D97" s="3" t="s">
        <v>9</v>
      </c>
      <c r="E97" s="1" t="s">
        <v>494</v>
      </c>
      <c r="F97" s="1" t="s">
        <v>495</v>
      </c>
      <c r="G97" s="1" t="s">
        <v>496</v>
      </c>
      <c r="H97" s="1" t="s">
        <v>497</v>
      </c>
      <c r="I97" s="1" t="s">
        <v>498</v>
      </c>
      <c r="J97" s="3" t="s">
        <v>9</v>
      </c>
      <c r="K97" s="17" t="s">
        <v>6</v>
      </c>
    </row>
    <row r="98" spans="1:11" ht="30.75">
      <c r="A98" s="2" t="s">
        <v>21</v>
      </c>
      <c r="B98" s="1" t="s">
        <v>499</v>
      </c>
      <c r="C98" s="1" t="s">
        <v>466</v>
      </c>
      <c r="D98" s="4" t="s">
        <v>5</v>
      </c>
      <c r="E98" s="1" t="s">
        <v>500</v>
      </c>
      <c r="F98" s="1" t="s">
        <v>468</v>
      </c>
      <c r="G98" s="1" t="s">
        <v>501</v>
      </c>
      <c r="H98" s="1" t="s">
        <v>502</v>
      </c>
      <c r="I98" s="1" t="s">
        <v>503</v>
      </c>
      <c r="J98" s="4" t="s">
        <v>5</v>
      </c>
      <c r="K98" s="17" t="s">
        <v>6</v>
      </c>
    </row>
    <row r="99" spans="1:11" ht="45.75">
      <c r="A99" s="2" t="s">
        <v>21</v>
      </c>
      <c r="B99" s="1" t="s">
        <v>504</v>
      </c>
      <c r="C99" s="1" t="s">
        <v>466</v>
      </c>
      <c r="D99" s="3" t="s">
        <v>9</v>
      </c>
      <c r="E99" s="1" t="s">
        <v>505</v>
      </c>
      <c r="F99" s="1" t="s">
        <v>468</v>
      </c>
      <c r="G99" s="1" t="s">
        <v>506</v>
      </c>
      <c r="H99" s="1" t="s">
        <v>507</v>
      </c>
      <c r="I99" s="1" t="s">
        <v>508</v>
      </c>
      <c r="J99" s="3" t="s">
        <v>9</v>
      </c>
      <c r="K99" s="17" t="s">
        <v>6</v>
      </c>
    </row>
    <row r="100" spans="1:11" ht="30.75">
      <c r="A100" s="2" t="s">
        <v>21</v>
      </c>
      <c r="B100" s="1" t="s">
        <v>509</v>
      </c>
      <c r="C100" s="1" t="s">
        <v>466</v>
      </c>
      <c r="D100" s="3" t="s">
        <v>9</v>
      </c>
      <c r="E100" s="1" t="s">
        <v>510</v>
      </c>
      <c r="F100" s="1" t="s">
        <v>511</v>
      </c>
      <c r="G100" s="1" t="s">
        <v>512</v>
      </c>
      <c r="H100" s="1" t="s">
        <v>268</v>
      </c>
      <c r="I100" s="1" t="s">
        <v>513</v>
      </c>
      <c r="J100" s="3" t="s">
        <v>9</v>
      </c>
      <c r="K100" s="17" t="s">
        <v>6</v>
      </c>
    </row>
    <row r="101" spans="1:11" ht="76.5">
      <c r="A101" s="2" t="s">
        <v>21</v>
      </c>
      <c r="B101" s="1" t="s">
        <v>514</v>
      </c>
      <c r="C101" s="1" t="s">
        <v>466</v>
      </c>
      <c r="D101" s="3" t="s">
        <v>9</v>
      </c>
      <c r="E101" s="1" t="s">
        <v>515</v>
      </c>
      <c r="F101" s="1" t="s">
        <v>468</v>
      </c>
      <c r="G101" s="1" t="s">
        <v>516</v>
      </c>
      <c r="H101" s="1" t="s">
        <v>51</v>
      </c>
      <c r="I101" s="1" t="s">
        <v>517</v>
      </c>
      <c r="J101" s="3" t="s">
        <v>9</v>
      </c>
      <c r="K101" s="17" t="s">
        <v>6</v>
      </c>
    </row>
    <row r="102" spans="1:11" ht="30.75">
      <c r="A102" s="2" t="s">
        <v>21</v>
      </c>
      <c r="B102" s="1" t="s">
        <v>518</v>
      </c>
      <c r="C102" s="1" t="s">
        <v>466</v>
      </c>
      <c r="D102" s="3" t="s">
        <v>9</v>
      </c>
      <c r="E102" s="1" t="s">
        <v>519</v>
      </c>
      <c r="F102" s="1" t="s">
        <v>468</v>
      </c>
      <c r="G102" s="1" t="s">
        <v>520</v>
      </c>
      <c r="H102" s="1" t="s">
        <v>497</v>
      </c>
      <c r="I102" s="1" t="s">
        <v>521</v>
      </c>
      <c r="J102" s="3" t="s">
        <v>9</v>
      </c>
      <c r="K102" s="17" t="s">
        <v>6</v>
      </c>
    </row>
    <row r="103" spans="1:11" ht="30.75">
      <c r="A103" s="2" t="s">
        <v>21</v>
      </c>
      <c r="B103" s="1" t="s">
        <v>522</v>
      </c>
      <c r="C103" s="1" t="s">
        <v>466</v>
      </c>
      <c r="D103" s="5" t="s">
        <v>7</v>
      </c>
      <c r="E103" s="1" t="s">
        <v>523</v>
      </c>
      <c r="F103" s="1" t="s">
        <v>524</v>
      </c>
      <c r="G103" s="1" t="s">
        <v>525</v>
      </c>
      <c r="H103" s="1" t="s">
        <v>51</v>
      </c>
      <c r="I103" s="1" t="s">
        <v>526</v>
      </c>
      <c r="J103" s="5" t="s">
        <v>7</v>
      </c>
      <c r="K103" s="17" t="s">
        <v>6</v>
      </c>
    </row>
    <row r="104" spans="1:11" ht="30.75">
      <c r="A104" s="2" t="s">
        <v>21</v>
      </c>
      <c r="B104" s="1" t="s">
        <v>527</v>
      </c>
      <c r="C104" s="1" t="s">
        <v>528</v>
      </c>
      <c r="D104" s="4" t="s">
        <v>5</v>
      </c>
      <c r="E104" s="1" t="s">
        <v>529</v>
      </c>
      <c r="F104" s="1" t="s">
        <v>530</v>
      </c>
      <c r="G104" s="1" t="s">
        <v>531</v>
      </c>
      <c r="H104" s="1" t="s">
        <v>532</v>
      </c>
      <c r="I104" s="1" t="s">
        <v>533</v>
      </c>
      <c r="J104" s="4" t="s">
        <v>5</v>
      </c>
      <c r="K104" s="17" t="s">
        <v>6</v>
      </c>
    </row>
    <row r="105" spans="1:11" ht="30.75">
      <c r="A105" s="2" t="s">
        <v>21</v>
      </c>
      <c r="B105" s="1" t="s">
        <v>534</v>
      </c>
      <c r="C105" s="1" t="s">
        <v>528</v>
      </c>
      <c r="D105" s="4" t="s">
        <v>5</v>
      </c>
      <c r="E105" s="1" t="s">
        <v>535</v>
      </c>
      <c r="F105" s="1" t="s">
        <v>536</v>
      </c>
      <c r="G105" s="1" t="s">
        <v>537</v>
      </c>
      <c r="H105" s="1" t="s">
        <v>538</v>
      </c>
      <c r="I105" s="1" t="s">
        <v>539</v>
      </c>
      <c r="J105" s="4" t="s">
        <v>5</v>
      </c>
      <c r="K105" s="17" t="s">
        <v>6</v>
      </c>
    </row>
    <row r="106" spans="1:11" ht="30.75">
      <c r="A106" s="2" t="s">
        <v>21</v>
      </c>
      <c r="B106" s="1" t="s">
        <v>540</v>
      </c>
      <c r="C106" s="1" t="s">
        <v>528</v>
      </c>
      <c r="D106" s="4" t="s">
        <v>5</v>
      </c>
      <c r="E106" s="1" t="s">
        <v>541</v>
      </c>
      <c r="F106" s="1" t="s">
        <v>530</v>
      </c>
      <c r="G106" s="1" t="s">
        <v>542</v>
      </c>
      <c r="H106" s="1" t="s">
        <v>51</v>
      </c>
      <c r="I106" s="1" t="s">
        <v>543</v>
      </c>
      <c r="J106" s="4" t="s">
        <v>5</v>
      </c>
      <c r="K106" s="17" t="s">
        <v>6</v>
      </c>
    </row>
    <row r="107" spans="1:11" ht="30.75">
      <c r="A107" s="2" t="s">
        <v>21</v>
      </c>
      <c r="B107" s="1" t="s">
        <v>544</v>
      </c>
      <c r="C107" s="1" t="s">
        <v>528</v>
      </c>
      <c r="D107" s="3" t="s">
        <v>9</v>
      </c>
      <c r="E107" s="1" t="s">
        <v>545</v>
      </c>
      <c r="F107" s="1" t="s">
        <v>530</v>
      </c>
      <c r="G107" s="1" t="s">
        <v>546</v>
      </c>
      <c r="H107" s="1" t="s">
        <v>51</v>
      </c>
      <c r="I107" s="1" t="s">
        <v>547</v>
      </c>
      <c r="J107" s="3" t="s">
        <v>9</v>
      </c>
      <c r="K107" s="17" t="s">
        <v>6</v>
      </c>
    </row>
    <row r="108" spans="1:11" ht="30.75">
      <c r="A108" s="2" t="s">
        <v>21</v>
      </c>
      <c r="B108" s="1" t="s">
        <v>548</v>
      </c>
      <c r="C108" s="1" t="s">
        <v>528</v>
      </c>
      <c r="D108" s="3" t="s">
        <v>9</v>
      </c>
      <c r="E108" s="1" t="s">
        <v>549</v>
      </c>
      <c r="F108" s="1" t="s">
        <v>530</v>
      </c>
      <c r="G108" s="1" t="s">
        <v>550</v>
      </c>
      <c r="H108" s="1" t="s">
        <v>51</v>
      </c>
      <c r="I108" s="1" t="s">
        <v>551</v>
      </c>
      <c r="J108" s="3" t="s">
        <v>9</v>
      </c>
      <c r="K108" s="17" t="s">
        <v>6</v>
      </c>
    </row>
    <row r="109" spans="1:11" ht="45.75">
      <c r="A109" s="2" t="s">
        <v>21</v>
      </c>
      <c r="B109" s="1" t="s">
        <v>552</v>
      </c>
      <c r="C109" s="1" t="s">
        <v>528</v>
      </c>
      <c r="D109" s="3" t="s">
        <v>9</v>
      </c>
      <c r="E109" s="1" t="s">
        <v>553</v>
      </c>
      <c r="F109" s="1" t="s">
        <v>554</v>
      </c>
      <c r="G109" s="1" t="s">
        <v>555</v>
      </c>
      <c r="H109" s="1" t="s">
        <v>51</v>
      </c>
      <c r="I109" s="1" t="s">
        <v>556</v>
      </c>
      <c r="J109" s="3" t="s">
        <v>9</v>
      </c>
      <c r="K109" s="17"/>
    </row>
    <row r="110" spans="1:11" ht="76.5">
      <c r="A110" s="2" t="s">
        <v>21</v>
      </c>
      <c r="B110" s="1" t="s">
        <v>557</v>
      </c>
      <c r="C110" s="1" t="s">
        <v>528</v>
      </c>
      <c r="D110" s="3" t="s">
        <v>9</v>
      </c>
      <c r="E110" s="1" t="s">
        <v>558</v>
      </c>
      <c r="F110" s="1" t="s">
        <v>530</v>
      </c>
      <c r="G110" s="1" t="s">
        <v>559</v>
      </c>
      <c r="H110" s="1" t="s">
        <v>51</v>
      </c>
      <c r="I110" s="1" t="s">
        <v>560</v>
      </c>
      <c r="J110" s="3" t="s">
        <v>9</v>
      </c>
      <c r="K110" s="17" t="s">
        <v>6</v>
      </c>
    </row>
    <row r="111" spans="1:11" ht="30.75">
      <c r="A111" s="2" t="s">
        <v>21</v>
      </c>
      <c r="B111" s="1" t="s">
        <v>561</v>
      </c>
      <c r="C111" s="1" t="s">
        <v>562</v>
      </c>
      <c r="D111" s="4" t="s">
        <v>5</v>
      </c>
      <c r="E111" s="1" t="s">
        <v>563</v>
      </c>
      <c r="F111" s="1" t="s">
        <v>564</v>
      </c>
      <c r="G111" s="1" t="s">
        <v>565</v>
      </c>
      <c r="H111" s="1" t="s">
        <v>51</v>
      </c>
      <c r="I111" s="1" t="s">
        <v>566</v>
      </c>
      <c r="J111" s="4" t="s">
        <v>5</v>
      </c>
      <c r="K111" s="17" t="s">
        <v>6</v>
      </c>
    </row>
    <row r="112" spans="1:11" ht="30.75">
      <c r="A112" s="2" t="s">
        <v>21</v>
      </c>
      <c r="B112" s="1" t="s">
        <v>567</v>
      </c>
      <c r="C112" s="1" t="s">
        <v>562</v>
      </c>
      <c r="D112" s="4" t="s">
        <v>5</v>
      </c>
      <c r="E112" s="1" t="s">
        <v>568</v>
      </c>
      <c r="F112" s="1" t="s">
        <v>569</v>
      </c>
      <c r="G112" s="1" t="s">
        <v>570</v>
      </c>
      <c r="H112" s="1" t="s">
        <v>571</v>
      </c>
      <c r="I112" s="1" t="s">
        <v>572</v>
      </c>
      <c r="J112" s="4" t="s">
        <v>5</v>
      </c>
      <c r="K112" s="17" t="s">
        <v>6</v>
      </c>
    </row>
    <row r="113" spans="1:11" ht="30.75">
      <c r="A113" s="2" t="s">
        <v>21</v>
      </c>
      <c r="B113" s="1" t="s">
        <v>573</v>
      </c>
      <c r="C113" s="1" t="s">
        <v>562</v>
      </c>
      <c r="D113" s="6" t="s">
        <v>11</v>
      </c>
      <c r="E113" s="1" t="s">
        <v>574</v>
      </c>
      <c r="F113" s="1" t="s">
        <v>575</v>
      </c>
      <c r="G113" s="1" t="s">
        <v>576</v>
      </c>
      <c r="H113" s="1" t="s">
        <v>571</v>
      </c>
      <c r="I113" s="1" t="s">
        <v>577</v>
      </c>
      <c r="J113" s="6" t="s">
        <v>11</v>
      </c>
      <c r="K113" s="17" t="s">
        <v>6</v>
      </c>
    </row>
    <row r="114" spans="1:11" ht="45.75">
      <c r="A114" s="2" t="s">
        <v>21</v>
      </c>
      <c r="B114" s="1" t="s">
        <v>578</v>
      </c>
      <c r="C114" s="1" t="s">
        <v>562</v>
      </c>
      <c r="D114" s="3" t="s">
        <v>9</v>
      </c>
      <c r="E114" s="1" t="s">
        <v>579</v>
      </c>
      <c r="F114" s="1" t="s">
        <v>569</v>
      </c>
      <c r="G114" s="1" t="s">
        <v>580</v>
      </c>
      <c r="H114" s="1" t="s">
        <v>51</v>
      </c>
      <c r="I114" s="1" t="s">
        <v>581</v>
      </c>
      <c r="J114" s="3" t="s">
        <v>9</v>
      </c>
      <c r="K114" s="17" t="s">
        <v>6</v>
      </c>
    </row>
    <row r="115" spans="1:11" ht="45.75">
      <c r="A115" s="2" t="s">
        <v>21</v>
      </c>
      <c r="B115" s="1" t="s">
        <v>582</v>
      </c>
      <c r="C115" s="1" t="s">
        <v>583</v>
      </c>
      <c r="D115" s="4" t="s">
        <v>5</v>
      </c>
      <c r="E115" s="1" t="s">
        <v>584</v>
      </c>
      <c r="F115" s="1" t="s">
        <v>585</v>
      </c>
      <c r="G115" s="1" t="s">
        <v>586</v>
      </c>
      <c r="H115" s="1" t="s">
        <v>51</v>
      </c>
      <c r="I115" s="1" t="s">
        <v>587</v>
      </c>
      <c r="J115" s="4" t="s">
        <v>5</v>
      </c>
      <c r="K115" s="17" t="s">
        <v>6</v>
      </c>
    </row>
    <row r="116" spans="1:11" ht="60.75">
      <c r="A116" s="2" t="s">
        <v>21</v>
      </c>
      <c r="B116" s="1" t="s">
        <v>588</v>
      </c>
      <c r="C116" s="1" t="s">
        <v>583</v>
      </c>
      <c r="D116" s="4" t="s">
        <v>5</v>
      </c>
      <c r="E116" s="1" t="s">
        <v>589</v>
      </c>
      <c r="F116" s="1" t="s">
        <v>590</v>
      </c>
      <c r="G116" s="1" t="s">
        <v>591</v>
      </c>
      <c r="H116" s="1" t="s">
        <v>51</v>
      </c>
      <c r="I116" s="1" t="s">
        <v>592</v>
      </c>
      <c r="J116" s="4" t="s">
        <v>5</v>
      </c>
      <c r="K116" s="17" t="s">
        <v>6</v>
      </c>
    </row>
    <row r="117" spans="1:11" ht="30.75">
      <c r="A117" s="2" t="s">
        <v>21</v>
      </c>
      <c r="B117" s="1" t="s">
        <v>593</v>
      </c>
      <c r="C117" s="1" t="s">
        <v>583</v>
      </c>
      <c r="D117" s="4" t="s">
        <v>5</v>
      </c>
      <c r="E117" s="1" t="s">
        <v>594</v>
      </c>
      <c r="F117" s="1" t="s">
        <v>595</v>
      </c>
      <c r="G117" s="1" t="s">
        <v>596</v>
      </c>
      <c r="H117" s="1" t="s">
        <v>51</v>
      </c>
      <c r="I117" s="1" t="s">
        <v>597</v>
      </c>
      <c r="J117" s="4" t="s">
        <v>5</v>
      </c>
      <c r="K117" s="17" t="s">
        <v>6</v>
      </c>
    </row>
    <row r="118" spans="1:11">
      <c r="A118" s="2" t="s">
        <v>21</v>
      </c>
      <c r="B118" s="1" t="s">
        <v>598</v>
      </c>
      <c r="C118" s="1" t="s">
        <v>583</v>
      </c>
      <c r="D118" s="3" t="s">
        <v>9</v>
      </c>
      <c r="E118" s="1" t="s">
        <v>599</v>
      </c>
      <c r="F118" s="1" t="s">
        <v>600</v>
      </c>
      <c r="G118" s="1" t="s">
        <v>601</v>
      </c>
      <c r="H118" s="1" t="s">
        <v>51</v>
      </c>
      <c r="I118" s="1" t="s">
        <v>602</v>
      </c>
      <c r="J118" s="3" t="s">
        <v>9</v>
      </c>
      <c r="K118" s="17" t="s">
        <v>6</v>
      </c>
    </row>
    <row r="119" spans="1:11" ht="32.25">
      <c r="A119" s="2" t="s">
        <v>21</v>
      </c>
      <c r="B119" s="1" t="s">
        <v>603</v>
      </c>
      <c r="C119" s="1" t="s">
        <v>583</v>
      </c>
      <c r="D119" s="4" t="s">
        <v>5</v>
      </c>
      <c r="E119" s="1" t="s">
        <v>604</v>
      </c>
      <c r="F119" s="1" t="s">
        <v>600</v>
      </c>
      <c r="G119" s="1" t="s">
        <v>605</v>
      </c>
      <c r="H119" s="1" t="s">
        <v>51</v>
      </c>
      <c r="I119" s="1" t="s">
        <v>606</v>
      </c>
      <c r="J119" s="4" t="s">
        <v>5</v>
      </c>
      <c r="K119" s="17" t="s">
        <v>6</v>
      </c>
    </row>
    <row r="120" spans="1:11" ht="30.75">
      <c r="A120" s="2" t="s">
        <v>21</v>
      </c>
      <c r="B120" s="1" t="s">
        <v>607</v>
      </c>
      <c r="C120" s="1" t="s">
        <v>583</v>
      </c>
      <c r="D120" s="3" t="s">
        <v>9</v>
      </c>
      <c r="E120" s="1" t="s">
        <v>608</v>
      </c>
      <c r="F120" s="1" t="s">
        <v>590</v>
      </c>
      <c r="G120" s="1" t="s">
        <v>609</v>
      </c>
      <c r="H120" s="1" t="s">
        <v>51</v>
      </c>
      <c r="I120" s="1" t="s">
        <v>610</v>
      </c>
      <c r="J120" s="3" t="s">
        <v>9</v>
      </c>
      <c r="K120" s="17" t="s">
        <v>6</v>
      </c>
    </row>
    <row r="121" spans="1:11" ht="30.75">
      <c r="A121" s="2" t="s">
        <v>21</v>
      </c>
      <c r="B121" s="1" t="s">
        <v>611</v>
      </c>
      <c r="C121" s="1" t="s">
        <v>583</v>
      </c>
      <c r="D121" s="3" t="s">
        <v>9</v>
      </c>
      <c r="E121" s="1" t="s">
        <v>612</v>
      </c>
      <c r="F121" s="1" t="s">
        <v>613</v>
      </c>
      <c r="G121" s="1" t="s">
        <v>614</v>
      </c>
      <c r="H121" s="1" t="s">
        <v>51</v>
      </c>
      <c r="I121" s="1" t="s">
        <v>615</v>
      </c>
      <c r="J121" s="3" t="s">
        <v>9</v>
      </c>
      <c r="K121" s="17" t="s">
        <v>6</v>
      </c>
    </row>
    <row r="122" spans="1:11" ht="30.75">
      <c r="A122" s="2" t="s">
        <v>21</v>
      </c>
      <c r="B122" s="1" t="s">
        <v>616</v>
      </c>
      <c r="C122" s="1" t="s">
        <v>583</v>
      </c>
      <c r="D122" s="3" t="s">
        <v>9</v>
      </c>
      <c r="E122" s="1" t="s">
        <v>617</v>
      </c>
      <c r="F122" s="1" t="s">
        <v>618</v>
      </c>
      <c r="G122" s="1" t="s">
        <v>619</v>
      </c>
      <c r="H122" s="1" t="s">
        <v>51</v>
      </c>
      <c r="I122" s="1" t="s">
        <v>620</v>
      </c>
      <c r="J122" s="3" t="s">
        <v>9</v>
      </c>
      <c r="K122" s="17" t="s">
        <v>6</v>
      </c>
    </row>
    <row r="123" spans="1:11" ht="30.75">
      <c r="A123" s="2" t="s">
        <v>21</v>
      </c>
      <c r="B123" s="1" t="s">
        <v>621</v>
      </c>
      <c r="C123" s="1" t="s">
        <v>583</v>
      </c>
      <c r="D123" s="3" t="s">
        <v>9</v>
      </c>
      <c r="E123" s="1" t="s">
        <v>622</v>
      </c>
      <c r="F123" s="1" t="s">
        <v>623</v>
      </c>
      <c r="G123" s="1" t="s">
        <v>624</v>
      </c>
      <c r="H123" s="1" t="s">
        <v>51</v>
      </c>
      <c r="I123" s="1" t="s">
        <v>625</v>
      </c>
      <c r="J123" s="3" t="s">
        <v>9</v>
      </c>
      <c r="K123" s="17" t="s">
        <v>6</v>
      </c>
    </row>
    <row r="124" spans="1:11" ht="30.75">
      <c r="A124" s="2" t="s">
        <v>21</v>
      </c>
      <c r="B124" s="1" t="s">
        <v>626</v>
      </c>
      <c r="C124" s="1" t="s">
        <v>583</v>
      </c>
      <c r="D124" s="3" t="s">
        <v>9</v>
      </c>
      <c r="E124" s="1" t="s">
        <v>627</v>
      </c>
      <c r="F124" s="1" t="s">
        <v>628</v>
      </c>
      <c r="G124" s="1" t="s">
        <v>629</v>
      </c>
      <c r="H124" s="1" t="s">
        <v>51</v>
      </c>
      <c r="I124" s="1" t="s">
        <v>630</v>
      </c>
      <c r="J124" s="3" t="s">
        <v>9</v>
      </c>
      <c r="K124" s="17" t="s">
        <v>6</v>
      </c>
    </row>
    <row r="125" spans="1:11" ht="45.75">
      <c r="A125" s="2" t="s">
        <v>21</v>
      </c>
      <c r="B125" s="1" t="s">
        <v>631</v>
      </c>
      <c r="C125" s="1" t="s">
        <v>632</v>
      </c>
      <c r="D125" s="4" t="s">
        <v>5</v>
      </c>
      <c r="E125" s="1" t="s">
        <v>633</v>
      </c>
      <c r="F125" s="1" t="s">
        <v>634</v>
      </c>
      <c r="G125" s="1" t="s">
        <v>635</v>
      </c>
      <c r="H125" s="1" t="s">
        <v>636</v>
      </c>
      <c r="I125" s="1" t="s">
        <v>637</v>
      </c>
      <c r="J125" s="4" t="s">
        <v>5</v>
      </c>
      <c r="K125" s="17" t="s">
        <v>6</v>
      </c>
    </row>
    <row r="126" spans="1:11" ht="45.75">
      <c r="A126" s="2" t="s">
        <v>21</v>
      </c>
      <c r="B126" s="1" t="s">
        <v>638</v>
      </c>
      <c r="C126" s="1" t="s">
        <v>632</v>
      </c>
      <c r="D126" s="5" t="s">
        <v>7</v>
      </c>
      <c r="E126" s="1" t="s">
        <v>639</v>
      </c>
      <c r="F126" s="1" t="s">
        <v>634</v>
      </c>
      <c r="G126" s="1" t="s">
        <v>640</v>
      </c>
      <c r="H126" s="1" t="s">
        <v>51</v>
      </c>
      <c r="I126" s="1" t="s">
        <v>641</v>
      </c>
      <c r="J126" s="5" t="s">
        <v>7</v>
      </c>
      <c r="K126" s="17" t="s">
        <v>6</v>
      </c>
    </row>
    <row r="127" spans="1:11" ht="30.75">
      <c r="A127" s="2" t="s">
        <v>21</v>
      </c>
      <c r="B127" s="1" t="s">
        <v>642</v>
      </c>
      <c r="C127" s="1" t="s">
        <v>643</v>
      </c>
      <c r="D127" s="4" t="s">
        <v>5</v>
      </c>
      <c r="E127" s="1" t="s">
        <v>563</v>
      </c>
      <c r="F127" s="1" t="s">
        <v>644</v>
      </c>
      <c r="G127" s="1" t="s">
        <v>645</v>
      </c>
      <c r="H127" s="1" t="s">
        <v>51</v>
      </c>
      <c r="I127" s="1" t="s">
        <v>646</v>
      </c>
      <c r="J127" s="4" t="s">
        <v>5</v>
      </c>
      <c r="K127" s="17" t="s">
        <v>6</v>
      </c>
    </row>
    <row r="128" spans="1:11" ht="30.75">
      <c r="A128" s="2" t="s">
        <v>21</v>
      </c>
      <c r="B128" s="1" t="s">
        <v>647</v>
      </c>
      <c r="C128" s="1" t="s">
        <v>643</v>
      </c>
      <c r="D128" s="6" t="s">
        <v>11</v>
      </c>
      <c r="E128" s="1" t="s">
        <v>574</v>
      </c>
      <c r="F128" s="1" t="s">
        <v>644</v>
      </c>
      <c r="G128" s="1" t="s">
        <v>576</v>
      </c>
      <c r="H128" s="1" t="s">
        <v>571</v>
      </c>
      <c r="I128" s="1" t="s">
        <v>648</v>
      </c>
      <c r="J128" s="6" t="s">
        <v>11</v>
      </c>
      <c r="K128" s="17" t="s">
        <v>6</v>
      </c>
    </row>
    <row r="129" spans="1:11" ht="91.5">
      <c r="A129" s="2" t="s">
        <v>21</v>
      </c>
      <c r="B129" s="1" t="s">
        <v>649</v>
      </c>
      <c r="C129" s="1" t="s">
        <v>643</v>
      </c>
      <c r="D129" s="3" t="s">
        <v>9</v>
      </c>
      <c r="E129" s="1" t="s">
        <v>650</v>
      </c>
      <c r="F129" s="1" t="s">
        <v>644</v>
      </c>
      <c r="G129" s="1" t="s">
        <v>651</v>
      </c>
      <c r="H129" s="1" t="s">
        <v>51</v>
      </c>
      <c r="I129" s="1" t="s">
        <v>652</v>
      </c>
      <c r="J129" s="3" t="s">
        <v>9</v>
      </c>
      <c r="K129" s="17" t="s">
        <v>6</v>
      </c>
    </row>
    <row r="130" spans="1:11" ht="45.75">
      <c r="A130" s="2" t="s">
        <v>21</v>
      </c>
      <c r="B130" s="1" t="s">
        <v>653</v>
      </c>
      <c r="C130" s="1" t="s">
        <v>654</v>
      </c>
      <c r="D130" s="4" t="s">
        <v>5</v>
      </c>
      <c r="E130" s="1" t="s">
        <v>655</v>
      </c>
      <c r="F130" s="1" t="s">
        <v>656</v>
      </c>
      <c r="G130" s="1" t="s">
        <v>657</v>
      </c>
      <c r="H130" s="1" t="s">
        <v>658</v>
      </c>
      <c r="I130" s="1" t="s">
        <v>659</v>
      </c>
      <c r="J130" s="4" t="s">
        <v>5</v>
      </c>
      <c r="K130" s="17" t="s">
        <v>6</v>
      </c>
    </row>
    <row r="131" spans="1:11" ht="30.75">
      <c r="A131" s="2" t="s">
        <v>21</v>
      </c>
      <c r="B131" s="1" t="s">
        <v>660</v>
      </c>
      <c r="C131" s="1" t="s">
        <v>654</v>
      </c>
      <c r="D131" s="4" t="s">
        <v>5</v>
      </c>
      <c r="E131" s="1" t="s">
        <v>661</v>
      </c>
      <c r="F131" s="1" t="s">
        <v>662</v>
      </c>
      <c r="G131" s="1" t="s">
        <v>663</v>
      </c>
      <c r="H131" s="1" t="s">
        <v>664</v>
      </c>
      <c r="I131" s="1" t="s">
        <v>665</v>
      </c>
      <c r="J131" s="4" t="s">
        <v>5</v>
      </c>
      <c r="K131" s="17" t="s">
        <v>6</v>
      </c>
    </row>
    <row r="132" spans="1:11" ht="76.5">
      <c r="A132" s="2" t="s">
        <v>21</v>
      </c>
      <c r="B132" s="1" t="s">
        <v>666</v>
      </c>
      <c r="C132" s="1" t="s">
        <v>667</v>
      </c>
      <c r="D132" s="6" t="s">
        <v>11</v>
      </c>
      <c r="E132" s="1" t="s">
        <v>668</v>
      </c>
      <c r="F132" s="1" t="s">
        <v>669</v>
      </c>
      <c r="G132" s="1" t="s">
        <v>670</v>
      </c>
      <c r="H132" s="1" t="s">
        <v>671</v>
      </c>
      <c r="I132" s="1" t="s">
        <v>672</v>
      </c>
      <c r="J132" s="6" t="s">
        <v>11</v>
      </c>
      <c r="K132" s="17" t="s">
        <v>6</v>
      </c>
    </row>
    <row r="133" spans="1:11" ht="45.75">
      <c r="A133" s="2" t="s">
        <v>21</v>
      </c>
      <c r="B133" s="1" t="s">
        <v>673</v>
      </c>
      <c r="C133" s="1" t="s">
        <v>667</v>
      </c>
      <c r="D133" s="6" t="s">
        <v>11</v>
      </c>
      <c r="E133" s="1" t="s">
        <v>674</v>
      </c>
      <c r="F133" s="1" t="s">
        <v>669</v>
      </c>
      <c r="G133" s="1" t="s">
        <v>675</v>
      </c>
      <c r="H133" s="1" t="s">
        <v>676</v>
      </c>
      <c r="I133" s="1" t="s">
        <v>677</v>
      </c>
      <c r="J133" s="6" t="s">
        <v>11</v>
      </c>
      <c r="K133" s="17" t="s">
        <v>6</v>
      </c>
    </row>
    <row r="134" spans="1:11" ht="60.75">
      <c r="A134" s="2" t="s">
        <v>21</v>
      </c>
      <c r="B134" s="1" t="s">
        <v>678</v>
      </c>
      <c r="C134" s="1" t="s">
        <v>667</v>
      </c>
      <c r="D134" s="6" t="s">
        <v>11</v>
      </c>
      <c r="E134" s="1" t="s">
        <v>679</v>
      </c>
      <c r="F134" s="1" t="s">
        <v>669</v>
      </c>
      <c r="G134" s="1" t="s">
        <v>680</v>
      </c>
      <c r="H134" s="1" t="s">
        <v>681</v>
      </c>
      <c r="I134" s="1" t="s">
        <v>677</v>
      </c>
      <c r="J134" s="6" t="s">
        <v>11</v>
      </c>
      <c r="K134" s="17" t="s">
        <v>6</v>
      </c>
    </row>
    <row r="135" spans="1:11" ht="76.5">
      <c r="A135" s="2" t="s">
        <v>21</v>
      </c>
      <c r="B135" s="1" t="s">
        <v>682</v>
      </c>
      <c r="C135" s="1" t="s">
        <v>667</v>
      </c>
      <c r="D135" s="6" t="s">
        <v>11</v>
      </c>
      <c r="E135" s="1" t="s">
        <v>683</v>
      </c>
      <c r="F135" s="1" t="s">
        <v>669</v>
      </c>
      <c r="G135" s="1" t="s">
        <v>684</v>
      </c>
      <c r="H135" s="1" t="s">
        <v>685</v>
      </c>
      <c r="I135" s="1" t="s">
        <v>677</v>
      </c>
      <c r="J135" s="6" t="s">
        <v>11</v>
      </c>
      <c r="K135" s="17" t="s">
        <v>6</v>
      </c>
    </row>
    <row r="136" spans="1:11" ht="45.75">
      <c r="A136" s="2" t="s">
        <v>21</v>
      </c>
      <c r="B136" s="1" t="s">
        <v>686</v>
      </c>
      <c r="C136" s="1" t="s">
        <v>667</v>
      </c>
      <c r="D136" s="6" t="s">
        <v>11</v>
      </c>
      <c r="E136" s="1" t="s">
        <v>687</v>
      </c>
      <c r="F136" s="1" t="s">
        <v>669</v>
      </c>
      <c r="G136" s="1" t="s">
        <v>688</v>
      </c>
      <c r="H136" s="1" t="s">
        <v>689</v>
      </c>
      <c r="I136" s="1" t="s">
        <v>677</v>
      </c>
      <c r="J136" s="6" t="s">
        <v>11</v>
      </c>
      <c r="K136" s="17" t="s">
        <v>6</v>
      </c>
    </row>
    <row r="137" spans="1:11" ht="45.75">
      <c r="A137" s="2" t="s">
        <v>21</v>
      </c>
      <c r="B137" s="1" t="s">
        <v>690</v>
      </c>
      <c r="C137" s="1" t="s">
        <v>667</v>
      </c>
      <c r="D137" s="6" t="s">
        <v>11</v>
      </c>
      <c r="E137" s="1" t="s">
        <v>691</v>
      </c>
      <c r="F137" s="1" t="s">
        <v>692</v>
      </c>
      <c r="G137" s="1" t="s">
        <v>693</v>
      </c>
      <c r="H137" s="1" t="s">
        <v>694</v>
      </c>
      <c r="I137" s="1" t="s">
        <v>695</v>
      </c>
      <c r="J137" s="6" t="s">
        <v>11</v>
      </c>
      <c r="K137" s="17" t="s">
        <v>6</v>
      </c>
    </row>
    <row r="138" spans="1:11" ht="45.75">
      <c r="A138" s="2" t="s">
        <v>21</v>
      </c>
      <c r="B138" s="1" t="s">
        <v>696</v>
      </c>
      <c r="C138" s="1" t="s">
        <v>667</v>
      </c>
      <c r="D138" s="4" t="s">
        <v>5</v>
      </c>
      <c r="E138" s="1" t="s">
        <v>697</v>
      </c>
      <c r="F138" s="1" t="s">
        <v>698</v>
      </c>
      <c r="G138" s="1" t="s">
        <v>699</v>
      </c>
      <c r="H138" s="1" t="s">
        <v>700</v>
      </c>
      <c r="I138" s="1" t="s">
        <v>701</v>
      </c>
      <c r="J138" s="4" t="s">
        <v>5</v>
      </c>
      <c r="K138" s="17" t="s">
        <v>6</v>
      </c>
    </row>
    <row r="139" spans="1:11" ht="45.75">
      <c r="A139" s="2" t="s">
        <v>21</v>
      </c>
      <c r="B139" s="1" t="s">
        <v>702</v>
      </c>
      <c r="C139" s="1" t="s">
        <v>667</v>
      </c>
      <c r="D139" s="4" t="s">
        <v>5</v>
      </c>
      <c r="E139" s="1" t="s">
        <v>703</v>
      </c>
      <c r="F139" s="1" t="s">
        <v>704</v>
      </c>
      <c r="G139" s="1" t="s">
        <v>705</v>
      </c>
      <c r="H139" s="1" t="s">
        <v>706</v>
      </c>
      <c r="I139" s="1" t="s">
        <v>707</v>
      </c>
      <c r="J139" s="4" t="s">
        <v>5</v>
      </c>
      <c r="K139" s="17" t="s">
        <v>6</v>
      </c>
    </row>
    <row r="140" spans="1:11" ht="30.75">
      <c r="A140" s="2" t="s">
        <v>21</v>
      </c>
      <c r="B140" s="1" t="s">
        <v>708</v>
      </c>
      <c r="C140" s="1" t="s">
        <v>667</v>
      </c>
      <c r="D140" s="4" t="s">
        <v>5</v>
      </c>
      <c r="E140" s="1" t="s">
        <v>709</v>
      </c>
      <c r="F140" s="1" t="s">
        <v>710</v>
      </c>
      <c r="G140" s="1" t="s">
        <v>711</v>
      </c>
      <c r="H140" s="1" t="s">
        <v>706</v>
      </c>
      <c r="I140" s="1" t="s">
        <v>712</v>
      </c>
      <c r="J140" s="4" t="s">
        <v>5</v>
      </c>
      <c r="K140" s="17" t="s">
        <v>8</v>
      </c>
    </row>
    <row r="141" spans="1:11" ht="30.75">
      <c r="A141" s="2" t="s">
        <v>21</v>
      </c>
      <c r="B141" s="1" t="s">
        <v>713</v>
      </c>
      <c r="C141" s="1" t="s">
        <v>667</v>
      </c>
      <c r="D141" s="4" t="s">
        <v>5</v>
      </c>
      <c r="E141" s="1" t="s">
        <v>714</v>
      </c>
      <c r="F141" s="1" t="s">
        <v>710</v>
      </c>
      <c r="G141" s="1" t="s">
        <v>715</v>
      </c>
      <c r="H141" s="1" t="s">
        <v>716</v>
      </c>
      <c r="I141" s="1" t="s">
        <v>717</v>
      </c>
      <c r="J141" s="4" t="s">
        <v>5</v>
      </c>
      <c r="K141" s="17" t="s">
        <v>6</v>
      </c>
    </row>
    <row r="142" spans="1:11">
      <c r="K142" s="18"/>
    </row>
  </sheetData>
  <autoFilter ref="A1:J141" xr:uid="{33B6D169-9A85-40E8-88FE-C4F41795DE67}"/>
  <dataValidations count="1">
    <dataValidation type="list" allowBlank="1" showInputMessage="1" showErrorMessage="1" sqref="K2:K141" xr:uid="{5D5EE3D2-C641-4CB9-BDED-6F0F3DD401DD}">
      <formula1>"Passed, Failed"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Maya Do</dc:creator>
  <cp:keywords/>
  <dc:description/>
  <cp:lastModifiedBy>Maya Do</cp:lastModifiedBy>
  <cp:revision/>
  <dcterms:created xsi:type="dcterms:W3CDTF">2026-06-23T10:14:02Z</dcterms:created>
  <dcterms:modified xsi:type="dcterms:W3CDTF">2026-06-24T10:31:31Z</dcterms:modified>
  <cp:category/>
  <cp:contentStatus/>
</cp:coreProperties>
</file>