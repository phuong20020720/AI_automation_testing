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ppacdtsource-my.sharepoint.com/personal/maya_do_ppac_co_uk/Documents/Automation/PPAC Automation for QC - Github repo/ppac-v2.0-ai-automation-for-qc/knowledge-base/app/Testcase/keltbray_onboarding/"/>
    </mc:Choice>
  </mc:AlternateContent>
  <xr:revisionPtr revIDLastSave="196" documentId="8_{AECE2F92-AA59-464B-A44E-F60C55A343BF}" xr6:coauthVersionLast="47" xr6:coauthVersionMax="47" xr10:uidLastSave="{6F7C980D-9EAE-4BF6-B815-793134F5FCE0}"/>
  <bookViews>
    <workbookView xWindow="-120" yWindow="-120" windowWidth="38640" windowHeight="21120" firstSheet="1" activeTab="1" xr2:uid="{1F013E79-B023-40BB-9AF1-4A6C9DAB58C1}"/>
  </bookViews>
  <sheets>
    <sheet name="total" sheetId="2" r:id="rId1"/>
    <sheet name="Keltbray Onboarding" sheetId="1" r:id="rId2"/>
  </sheets>
  <definedNames>
    <definedName name="_xlnm._FilterDatabase" localSheetId="1" hidden="1">'Keltbray Onboarding'!$A$1:$J$141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2" l="1"/>
  <c r="E5" i="2"/>
  <c r="E4" i="2"/>
  <c r="E6" i="2" s="1"/>
  <c r="B5" i="2"/>
  <c r="B6" i="2"/>
  <c r="B7" i="2"/>
  <c r="B8" i="2" l="1"/>
</calcChain>
</file>

<file path=xl/sharedStrings.xml><?xml version="1.0" encoding="utf-8"?>
<sst xmlns="http://schemas.openxmlformats.org/spreadsheetml/2006/main" count="1562" uniqueCount="720">
  <si>
    <t>Priority Summary</t>
  </si>
  <si>
    <t>Status Summary</t>
  </si>
  <si>
    <t>Priority</t>
  </si>
  <si>
    <t>Case Count</t>
  </si>
  <si>
    <t>Status</t>
  </si>
  <si>
    <t>High</t>
  </si>
  <si>
    <t>Passed</t>
  </si>
  <si>
    <t>Low</t>
  </si>
  <si>
    <t>Failed</t>
  </si>
  <si>
    <t>Medium</t>
  </si>
  <si>
    <t xml:space="preserve">Total </t>
  </si>
  <si>
    <t>Critical</t>
  </si>
  <si>
    <t>Sector</t>
  </si>
  <si>
    <t>TC ID</t>
  </si>
  <si>
    <t>Module</t>
  </si>
  <si>
    <t>Risk Level</t>
  </si>
  <si>
    <t>Test Scenario</t>
  </si>
  <si>
    <t>Pre-Condition</t>
  </si>
  <si>
    <t>Test Steps</t>
  </si>
  <si>
    <t>Test Data</t>
  </si>
  <si>
    <t>Expected Result</t>
  </si>
  <si>
    <t>Keltbray/ KRS</t>
  </si>
  <si>
    <t>PPAC_KELT_PREFIX_TC_001</t>
  </si>
  <si>
    <t>PREFIX</t>
  </si>
  <si>
    <t>Nhập prefix keltbray → hiển thị 2 sector</t>
  </si>
  <si>
    <t>Worker mở onboarding link, màn nhập company prefix</t>
  </si>
  <si>
    <t>1. Gõ "keltbray" vào ô company prefix
2. Quan sát danh sách gợi ý</t>
  </si>
  <si>
    <t>prefix = keltbray</t>
  </si>
  <si>
    <t>1. Hiển thị gợi ý gồm "Keltbray - KRS" và "Keltbray - Keltbray"</t>
  </si>
  <si>
    <t>KRS</t>
  </si>
  <si>
    <t>PPAC_KELT_PREFIX_TC_002</t>
  </si>
  <si>
    <t>Chọn "Keltbray - KRS" → vào luồng induction</t>
  </si>
  <si>
    <t>Đã gõ "keltbray", có gợi ý</t>
  </si>
  <si>
    <t>1. Chọn "Keltbray - KRS"</t>
  </si>
  <si>
    <t>chọn KRS</t>
  </si>
  <si>
    <t>1. Điều hướng tới màn Worker Payment Status (luồng induction)</t>
  </si>
  <si>
    <t>Keltbray</t>
  </si>
  <si>
    <t>PPAC_KELT_PREFIX_TC_003</t>
  </si>
  <si>
    <t>Chọn "Keltbray - Keltbray" → vào luồng normal</t>
  </si>
  <si>
    <t>1. Chọn "Keltbray - Keltbray"
2. Tap "Continue →"</t>
  </si>
  <si>
    <t>chọn Keltbray</t>
  </si>
  <si>
    <t>1. Điều hướng tới màn Select site location (luồng normal, N02)</t>
  </si>
  <si>
    <t>PPAC_KELT_WPS_TC_001</t>
  </si>
  <si>
    <t>WPS</t>
  </si>
  <si>
    <t>Không chọn Worker Payment Status → lỗi required</t>
  </si>
  <si>
    <t>Đã vào KRS, màn Worker Payment Status, dropdown trống</t>
  </si>
  <si>
    <t>1. Không chọn gì ở dropdown
2. Thử tiếp tục</t>
  </si>
  <si>
    <t>(none)</t>
  </si>
  <si>
    <t>1. Field viền đỏ + lỗi đỏ "Please select here"; không tiếp tục được</t>
  </si>
  <si>
    <t>PPAC_KELT_WPS_TC_002</t>
  </si>
  <si>
    <t>Sheet hiển thị đúng 3 option (single-select)</t>
  </si>
  <si>
    <t>Màn Worker Payment Status</t>
  </si>
  <si>
    <t>1. Mở dropdown
2. Quan sát sheet "Worker Payment Status"</t>
  </si>
  <si>
    <t>-</t>
  </si>
  <si>
    <t>1. Sheet có đúng 3 option: CIS · Limited · Umbrella; chọn 1 → đánh dấu CheckCircle xanh (single-select)</t>
  </si>
  <si>
    <t>PPAC_KELT_WPS_TC_003</t>
  </si>
  <si>
    <t>Chọn CIS → hiện radio provider (Riddingtons/Industrial Labour)</t>
  </si>
  <si>
    <t>1. Chọn CIS
2. Quan sát dưới dropdown</t>
  </si>
  <si>
    <t>CIS</t>
  </si>
  <si>
    <t>1. Dropdown thu gọn "CIS"; hiện radio group provider: Riddingtons + Industrial Labour; nút "Next →"</t>
  </si>
  <si>
    <t>PPAC_KELT_WPS_TC_004</t>
  </si>
  <si>
    <t>CIS + chưa chọn provider → chặn Next</t>
  </si>
  <si>
    <t>Đã chọn CIS, chưa chọn provider</t>
  </si>
  <si>
    <t>1. Không chọn provider
2. Tap "Next →"</t>
  </si>
  <si>
    <t>CIS, provider = (none)</t>
  </si>
  <si>
    <t>1. Không điều hướng (BR-03: provider bắt buộc khi CIS)</t>
  </si>
  <si>
    <t>PPAC_KELT_WPS_TC_005</t>
  </si>
  <si>
    <t>CIS + Riddingtons → Next → Welcome Riddingtons</t>
  </si>
  <si>
    <t>Đã chọn CIS</t>
  </si>
  <si>
    <t>1. Chọn provider Riddingtons
2. Tap "Next →"</t>
  </si>
  <si>
    <t>CIS + Riddingtons</t>
  </si>
  <si>
    <t>1. Điều hướng tới Welcome "Welcome to Riddingtons payroll services."</t>
  </si>
  <si>
    <t>PPAC_KELT_WPS_TC_006</t>
  </si>
  <si>
    <t>CIS + Industrial Labour → Next → Welcome Industrial Labour</t>
  </si>
  <si>
    <t>1. Chọn provider Industrial Labour
2. Tap "Next →"</t>
  </si>
  <si>
    <t>CIS + Industrial Labour</t>
  </si>
  <si>
    <t>1. Điều hướng tới Welcome "Welcome to Industrial Labour LTD payroll services."</t>
  </si>
  <si>
    <t>PPAC_KELT_WPS_TC_007</t>
  </si>
  <si>
    <t>Chọn Limited → hiện text provider + section "Kindly provide one of the following"</t>
  </si>
  <si>
    <t>1. Chọn Limited
2. Quan sát dưới dropdown</t>
  </si>
  <si>
    <t>Limited</t>
  </si>
  <si>
    <t>1. Hiện dòng text provider (cố định) + section "Kindly provide one of the following:" với 2 nút Company Registration Number → / Company Trading Name →
hiển thị "Industrial Labour"</t>
  </si>
  <si>
    <t>PPAC_KELT_WPS_TC_008</t>
  </si>
  <si>
    <t>Chọn Umbrella → radio provider Riddingtons (1 option) → Next → Welcome</t>
  </si>
  <si>
    <t>1. Chọn Umbrella
2. Chọn radio Riddingtons
3. Tap "Next →"</t>
  </si>
  <si>
    <t>Umbrella + Riddingtons</t>
  </si>
  <si>
    <t>1. Hiện radio "Riddingtons" (1 option, selected); Next → Welcome "Welcome to Riddingtons payroll services."</t>
  </si>
  <si>
    <t>PPAC_KELT_WPS_TC_009</t>
  </si>
  <si>
    <t>Đổi lựa chọn CIS → Limited → ẩn radio provider, hiện section company (State Transition)</t>
  </si>
  <si>
    <t>Đã chọn CIS (radio provider hiển thị)</t>
  </si>
  <si>
    <t>1. Đổi dropdown sang Limited
2. Quan sát</t>
  </si>
  <si>
    <t>CIS → Limited</t>
  </si>
  <si>
    <t>1. Radio provider (Riddingtons/Industrial Labour) ẩn; hiện section "Kindly provide one of the following" của Limited</t>
  </si>
  <si>
    <t>PPAC_KELT_WPS_TC_010</t>
  </si>
  <si>
    <t>Header hiển thị đúng</t>
  </si>
  <si>
    <t>1. Quan sát header</t>
  </si>
  <si>
    <t>1. Có logo keltbray, nút Back (&lt;); tiêu đề xanh "Worker Payment Status"</t>
  </si>
  <si>
    <t>PPAC_KELT_WELCOME_TC_001</t>
  </si>
  <si>
    <t>WELCOME</t>
  </si>
  <si>
    <t>Welcome Riddingtons (CIS/Umbrella) hiển thị đúng logo + heading</t>
  </si>
  <si>
    <t>Đã chọn provider Riddingtons → màn Welcome</t>
  </si>
  <si>
    <t>1. Quan sát logo + heading</t>
  </si>
  <si>
    <t>1. Logo "Riddingtons Payroll"; heading xanh "Welcome to Riddingtons payroll services."</t>
  </si>
  <si>
    <t>PPAC_KELT_WELCOME_TC_002</t>
  </si>
  <si>
    <t>Welcome Industrial Labour (CIS) hiển thị đúng logo + heading</t>
  </si>
  <si>
    <t>Đã chọn CIS + Industrial Labour → màn Welcome</t>
  </si>
  <si>
    <t>1. Logo "IL — INDUSTRIAL LABOUR LTD"; heading "Welcome to Industrial Labour LTD payroll services."</t>
  </si>
  <si>
    <t>PPAC_KELT_WELCOME_TC_003</t>
  </si>
  <si>
    <t>Body Welcome verbatim (mọi provider)</t>
  </si>
  <si>
    <t>Màn Welcome (provider bất kỳ)</t>
  </si>
  <si>
    <t>1. Đọc body</t>
  </si>
  <si>
    <t>1. Body đúng: "Please complete your full personal details in line with our client's requirements. You will be contacted by us directly to complete the contract services." + "Thank you."</t>
  </si>
  <si>
    <t>PPAC_KELT_WELCOME_TC_004</t>
  </si>
  <si>
    <t>Next → Personal information</t>
  </si>
  <si>
    <t>Màn Welcome</t>
  </si>
  <si>
    <t>1. Tap "Next →"</t>
  </si>
  <si>
    <t>1. Điều hướng tới form Personal information (tab Onboarding details)</t>
  </si>
  <si>
    <t>PPAC_KELT_WELCOME_TC_005</t>
  </si>
  <si>
    <t>Welcome Umbrella = Riddingtons</t>
  </si>
  <si>
    <t>Đã chọn Umbrella + Riddingtons → Welcome</t>
  </si>
  <si>
    <t>1. Quan sát heading</t>
  </si>
  <si>
    <t>1. Heading "Welcome to Riddingtons payroll services." (Umbrella dùng Riddingtons)</t>
  </si>
  <si>
    <t>PPAC_KELT_DEF_TC_001</t>
  </si>
  <si>
    <t>DEF</t>
  </si>
  <si>
    <t>Text provider ở WPS Limited phải là Industrial Labour</t>
  </si>
  <si>
    <t>Màn Worker Payment Status, đã chọn Limited</t>
  </si>
  <si>
    <t>1. Quan sát dòng text provider dưới dropdown Limited</t>
  </si>
  <si>
    <t>Hiển thị provider = "Industrial Labour" (hiện đang hiển thị SAI "Payroll Provider is Riddingtons" → bug DN-04)</t>
  </si>
  <si>
    <t>PPAC_KELT_DEF_TC_002</t>
  </si>
  <si>
    <t>Limited: Welcome = Industrial Labour LTD (provider thực)</t>
  </si>
  <si>
    <t>Đã chọn Limited → qua company info → màn Welcome</t>
  </si>
  <si>
    <t>1. Quan sát heading Welcome</t>
  </si>
  <si>
    <t>1. Heading "Welcome to Industrial Labour LTD payroll services." → xác nhận provider thực của Limited = Industrial Labour (đối chiếu DEF_TC_001)</t>
  </si>
  <si>
    <t>PPAC_KELT_PICIS_TC_001</t>
  </si>
  <si>
    <t>PICIS</t>
  </si>
  <si>
    <t>Nhập đầy đủ field hợp lệ → Next sang Health Questionnaire</t>
  </si>
  <si>
    <t>Màn Personal information (CIS); các pre-filled có sẵn</t>
  </si>
  <si>
    <t>1. Upload passport
2. Nhập Address, City, Postcode
3. Nhập Candidate's Mobile Phone, NIN
4. Chọn Gender, Contract/Job start date, nhập Next of Kin + Tel, chọn Trade
5. Nhập UTR, Name of bank, Bank account, Sort code
6. Tap "Next →"</t>
  </si>
  <si>
    <t>Phone=07700900111; NIN=AH123456L; Contract=01/01/2026; Next of Kin=John Smith; Tel=07700900222; UTR=1234567890; Bank acc=12345678; Sort=12-34-56; Roll=(trống)</t>
  </si>
  <si>
    <t>1. Mọi field nhận giá trị, không lỗi
2. Điều hướng tới tab Health Questionnaire</t>
  </si>
  <si>
    <t>PPAC_KELT_PICIS_TC_002</t>
  </si>
  <si>
    <t>Your passport bỏ trống → lỗi required, chặn Next</t>
  </si>
  <si>
    <t>Màn Personal information, chưa upload passport</t>
  </si>
  <si>
    <t>1. Để trống "Your passport"
2. Điền field khác hợp lệ
3. Tap "Next →"</t>
  </si>
  <si>
    <t>passport=(none)</t>
  </si>
  <si>
    <t>1. Lỗi "Please upload your passport"; không điều hướng</t>
  </si>
  <si>
    <t>PPAC_KELT_PICIS_TC_003</t>
  </si>
  <si>
    <t>Tap "Upload your passport" → điều hướng màn Regula</t>
  </si>
  <si>
    <t>Màn Personal information</t>
  </si>
  <si>
    <t>1. Tap "+ Upload your passport"</t>
  </si>
  <si>
    <t>1. Điều hướng tới màn "Upload your passport"; helper "Accepted file types: png, jpg, jpeg, doc, docx, pdf."</t>
  </si>
  <si>
    <t>PPAC_KELT_PICIS_TC_004</t>
  </si>
  <si>
    <t>Pre-filled hiển thị sẵn từ profile</t>
  </si>
  <si>
    <t>1. Quan sát Surname, Forenames, Email, Date of Birth, Citizenship</t>
  </si>
  <si>
    <t>1. 5 field hiển thị giá trị pre-filled (vd Surname/Forenames "Maya", DOB 28/05/2001, Citizenship "Vietnamese") — không cần nhập lại</t>
  </si>
  <si>
    <t>PPAC_KELT_PICIS_TC_005</t>
  </si>
  <si>
    <t>Field pre-filled KHÔNG cho chỉnh sửa/xóa (read-only)</t>
  </si>
  <si>
    <t>Màn Personal information; Surname/Forenames/Email/DOB/Citizenship pre-filled từ profile</t>
  </si>
  <si>
    <t>1. Thử chỉnh sửa và xóa lần lượt từng field: Surname, Forenames, Email, Date of Birth, Citizenship</t>
  </si>
  <si>
    <t>1. Không cho chỉnh sửa/xóa — cả 5 field pre-filled ở trạng thái read-only; giá trị giữ nguyên từ profile</t>
  </si>
  <si>
    <t>PPAC_KELT_PICIS_TC_006</t>
  </si>
  <si>
    <t>Address bỏ trống → lỗi required</t>
  </si>
  <si>
    <t>1. Để trống Address
2. Tap "Next →"</t>
  </si>
  <si>
    <t>Address=(empty)</t>
  </si>
  <si>
    <t>1. Hiển thị lỗi required tại Address; không điều hướng</t>
  </si>
  <si>
    <t>PPAC_KELT_PICIS_TC_007</t>
  </si>
  <si>
    <t>City / Postcode bỏ trống → lỗi required</t>
  </si>
  <si>
    <t>1. Để trống City và Postcode
2. Tap "Next →"</t>
  </si>
  <si>
    <t>City=(empty); Postcode=(empty)</t>
  </si>
  <si>
    <t>1. Mỗi field (City, Postcode) hiển thị lỗi required; không điều hướng</t>
  </si>
  <si>
    <t>PPAC_KELT_PICIS_TC_008</t>
  </si>
  <si>
    <t>Candidate's Mobile Phone &lt; 11 số → lỗi (BVA)</t>
  </si>
  <si>
    <t>1. Nhập Candidate's Mobile Phone &lt; 11 số
2. Tap "Next →"</t>
  </si>
  <si>
    <t>Phone=8272930 (7 số)</t>
  </si>
  <si>
    <t>1. Hiển thị "either your phone number is invalid or use at least 11 digits"; không điều hướng</t>
  </si>
  <si>
    <t>PPAC_KELT_PICIS_TC_009</t>
  </si>
  <si>
    <t>Candidate's Mobile Phone bỏ trống → lỗi required</t>
  </si>
  <si>
    <t>1. Để trống Candidate's Mobile Phone
2. Tap "Next →"</t>
  </si>
  <si>
    <t>Phone=(empty)</t>
  </si>
  <si>
    <t>1. Hiển thị lỗi required tại Candidate's Mobile Phone; không điều hướng</t>
  </si>
  <si>
    <t>PPAC_KELT_PICIS_TC_010</t>
  </si>
  <si>
    <t>Candidate's Mobile Phone = 11 số → chấp nhận (BVA biên)</t>
  </si>
  <si>
    <t>1. Nhập Phone đúng 11 số
2. Rời focus</t>
  </si>
  <si>
    <t>Phone=07700900111 (11 số)</t>
  </si>
  <si>
    <t>1. Không lỗi phone; field nhận giá trị</t>
  </si>
  <si>
    <t>PPAC_KELT_PICIS_TC_011</t>
  </si>
  <si>
    <t>NIN sai format → lỗi format verbatim</t>
  </si>
  <si>
    <t>1. Nhập NIN sai định dạng
2. Tap "Next →"</t>
  </si>
  <si>
    <t>NIN=MIDORI</t>
  </si>
  <si>
    <t>1. Hiển thị "Please enter the right format: 2 letters, 6 numbers, 1 letter (e.g. AA999999A)"; không điều hướng</t>
  </si>
  <si>
    <t>PPAC_KELT_PICIS_TC_012</t>
  </si>
  <si>
    <t>NIN thiếu 1 số (boundary) → lỗi format (BVA)</t>
  </si>
  <si>
    <t>1. Nhập NIN thiếu 1 số (2 chữ + 5 số + 1 chữ)
2. Tap "Next →"</t>
  </si>
  <si>
    <t>NIN=AH12345L</t>
  </si>
  <si>
    <t>1. Hiển thị lỗi format NIN</t>
  </si>
  <si>
    <t>PPAC_KELT_PICIS_TC_013</t>
  </si>
  <si>
    <t>NIN đúng format (2 chữ + 6 số + 1 chữ) → chấp nhận</t>
  </si>
  <si>
    <t>1. Nhập NIN đúng định dạng
2. Rời focus</t>
  </si>
  <si>
    <t>NIN=AH123456L</t>
  </si>
  <si>
    <t>1. Không lỗi NIN; field nhận giá trị</t>
  </si>
  <si>
    <t>PPAC_KELT_PICIS_TC_014</t>
  </si>
  <si>
    <t>NIN bỏ trống → lỗi required</t>
  </si>
  <si>
    <t>1. Để trống NIN
2. Tap "Next →"</t>
  </si>
  <si>
    <t>NIN=(empty)</t>
  </si>
  <si>
    <t>1. Hiển thị lỗi required tại NIN; không điều hướng</t>
  </si>
  <si>
    <t>PPAC_KELT_PICIS_TC_015</t>
  </si>
  <si>
    <t>Contract/Job start date bỏ trống → lỗi "Please enter here"</t>
  </si>
  <si>
    <t>1. Để trống Contract/Job start date
2. Tap "Next →"</t>
  </si>
  <si>
    <t>Contract=(empty)</t>
  </si>
  <si>
    <t>1. Hiển thị "Please enter here" tại Contract/Job start date; không điều hướng</t>
  </si>
  <si>
    <t>PPAC_KELT_PICIS_TC_016</t>
  </si>
  <si>
    <t>Next of Kin bỏ trống → lỗi required</t>
  </si>
  <si>
    <t>1. Để trống Next of Kin
2. Tap "Next →"</t>
  </si>
  <si>
    <t>Next of Kin=(empty)</t>
  </si>
  <si>
    <t>1. Hiển thị lỗi required tại Next of Kin; không điều hướng</t>
  </si>
  <si>
    <t>PPAC_KELT_PICIS_TC_017</t>
  </si>
  <si>
    <t>Tel (Next of Kin) sai định dạng → lỗi</t>
  </si>
  <si>
    <t>1. Nhập Tel (Next of Kin) không hợp lệ
2. Tap "Next →"</t>
  </si>
  <si>
    <t>Tel=8272930</t>
  </si>
  <si>
    <t>1. Hiển thị "Please enter a valid phone number"; không điều hướng</t>
  </si>
  <si>
    <t>PPAC_KELT_PICIS_TC_018</t>
  </si>
  <si>
    <t>Trade không chọn → lỗi required</t>
  </si>
  <si>
    <t>1. Bỏ trống Trade
2. Tap "Next →"</t>
  </si>
  <si>
    <t>Trade=(none)</t>
  </si>
  <si>
    <t>1. Hiển thị lỗi required tại Trade; không điều hướng</t>
  </si>
  <si>
    <t>PPAC_KELT_PICIS_TC_020</t>
  </si>
  <si>
    <t>UTR đúng format → chấp nhận (EP)</t>
  </si>
  <si>
    <t>1. Nhập UTR đúng định dạng
2. Rời focus</t>
  </si>
  <si>
    <t>UTR=1234567890K</t>
  </si>
  <si>
    <t>1. Không lỗi UTR; field nhận giá trị</t>
  </si>
  <si>
    <t>PPAC_KELT_PICIS_TC_021</t>
  </si>
  <si>
    <t>UTR sai format → lỗi format verbatim</t>
  </si>
  <si>
    <t>1. Nhập UTR sai định dạng
2. Tap "Next →"</t>
  </si>
  <si>
    <t>UTR=12345</t>
  </si>
  <si>
    <t>1. Hiển thị "The UTR number can only be of the form - 1234567890 or 1234567890K"; không điều hướng</t>
  </si>
  <si>
    <t>PPAC_KELT_PICIS_TC_022</t>
  </si>
  <si>
    <t>Bank account number = 8 số → chấp nhận</t>
  </si>
  <si>
    <t>1. Nhập Bank account đúng 8 số
2. Rời focus</t>
  </si>
  <si>
    <t>Bank acc=12345678</t>
  </si>
  <si>
    <t>1. Không lỗi; field nhận giá trị</t>
  </si>
  <si>
    <t>PPAC_KELT_PICIS_TC_023</t>
  </si>
  <si>
    <t>Bank account ≠ 8 số (boundary 7 số) → lỗi format</t>
  </si>
  <si>
    <t>1. Nhập Bank account 7 số
2. Tap "Next →"</t>
  </si>
  <si>
    <t>Bank acc=1234567</t>
  </si>
  <si>
    <t>1. Hiển thị "the bank account number can only be of the form - 12345678 or 8 digits ex.12345678"; không điều hướng</t>
  </si>
  <si>
    <t>PPAC_KELT_PICIS_TC_024</t>
  </si>
  <si>
    <t>Name of bank bỏ trống → lỗi "Please enter here"</t>
  </si>
  <si>
    <t>1. Để trống Name of bank
2. Tap "Next →"</t>
  </si>
  <si>
    <t>Name of bank=(empty)</t>
  </si>
  <si>
    <t>1. Hiển thị "Please enter here" tại Name of bank; không điều hướng</t>
  </si>
  <si>
    <t>PPAC_KELT_PICIS_TC_025</t>
  </si>
  <si>
    <t>Sort code bỏ trống → lỗi "Please enter here"</t>
  </si>
  <si>
    <t>1. Để trống Sort code
2. Tap "Next →"</t>
  </si>
  <si>
    <t>Sort code=(empty)</t>
  </si>
  <si>
    <t>1. Hiển thị "Please enter here" tại Sort code; không điều hướng</t>
  </si>
  <si>
    <t>PPAC_KELT_PICIS_TC_026</t>
  </si>
  <si>
    <t>Roll number để trống vẫn Next được (OPTIONAL)</t>
  </si>
  <si>
    <t>Màn Personal information, các field bắt buộc hợp lệ, Roll number trống</t>
  </si>
  <si>
    <t>1. Để trống Roll number (if applicable)
2. Tap "Next →"</t>
  </si>
  <si>
    <t>Roll number=(empty)</t>
  </si>
  <si>
    <t>1. KHÔNG báo lỗi tại Roll number; điều hướng sang Health Questionnaire (field optional)</t>
  </si>
  <si>
    <t>PPAC_KELT_PICIS_TC_027</t>
  </si>
  <si>
    <t>Có field UTR Number (đặc thù CIS)</t>
  </si>
  <si>
    <t>Màn Personal information CIS</t>
  </si>
  <si>
    <t>1. Cuộn form tìm field UTR Number</t>
  </si>
  <si>
    <t>1. CÓ field "UTR Number" (đặc thù nhánh CIS — đối chiếu Umbrella không có)</t>
  </si>
  <si>
    <t>PPAC_KELT_PICIS_TC_028</t>
  </si>
  <si>
    <t>Nhiều field required trống cùng lúc → mỗi field báo lỗi</t>
  </si>
  <si>
    <t>Màn Personal information trống (trừ pre-filled)</t>
  </si>
  <si>
    <t>1. Để trống toàn bộ field bắt buộc
2. Tap "Next →"</t>
  </si>
  <si>
    <t>all empty</t>
  </si>
  <si>
    <t>1. Mỗi field bắt buộc hiển thị lỗi tương ứng; không điều hướng</t>
  </si>
  <si>
    <t>PPAC_KELT_LTDCO_TC_001</t>
  </si>
  <si>
    <t>LTDCO</t>
  </si>
  <si>
    <t>Bắt buộc chọn 1 trong 2 (one-of)</t>
  </si>
  <si>
    <t>Màn "Kindly provide one of the following"</t>
  </si>
  <si>
    <t>1. Không chọn Company Registration Number / Company Trading Name
2. Thử tiếp tục</t>
  </si>
  <si>
    <t>1. Không tiếp tục được — bắt buộc chọn 1 trong 2 (one-of)</t>
  </si>
  <si>
    <t>PPAC_KELT_LTDCO_TC_002</t>
  </si>
  <si>
    <t>Chọn "Company Registration Number" → màn M-LTD-01</t>
  </si>
  <si>
    <t>1. Tap "Company Registration Number →"</t>
  </si>
  <si>
    <t>1. Điều hướng tới màn tiêu đề "Company Registration Number" (M-LTD-01)</t>
  </si>
  <si>
    <t>PPAC_KELT_LTDCO_TC_003</t>
  </si>
  <si>
    <t>Chọn "Company Trading Name" → màn M-LTD-02</t>
  </si>
  <si>
    <t>1. Tap "Company Trading Name →"</t>
  </si>
  <si>
    <t>1. Điều hướng tới màn tiêu đề "Company Trading Name"</t>
  </si>
  <si>
    <t>PPAC_KELT_LTDCO_TC_004</t>
  </si>
  <si>
    <t>M-LTD-01: Company Registration Number bỏ trống → lỗi</t>
  </si>
  <si>
    <t>Màn Company Registration Number (M-LTD-01)</t>
  </si>
  <si>
    <t>1. Để trống field Company Registration Number
2. Tap "Next →"</t>
  </si>
  <si>
    <t>(empty)</t>
  </si>
  <si>
    <t>1. Hiển thị "Please enter here"; không điều hướng</t>
  </si>
  <si>
    <t>PPAC_KELT_LTDCO_TC_005</t>
  </si>
  <si>
    <t>M-LTD-01: Reg Number sai format → lỗi verbatim</t>
  </si>
  <si>
    <t>Màn Company Registration Number</t>
  </si>
  <si>
    <t>1. Nhập sai định dạng
2. Tap "Next →"</t>
  </si>
  <si>
    <t>CHCJMX</t>
  </si>
  <si>
    <t>1. Hiển thị "The Company Registration Number can only be of the form – 12345678 or two letters followed by 8 digits ex. SC12345678"</t>
  </si>
  <si>
    <t>PPAC_KELT_LTDCO_TC_006</t>
  </si>
  <si>
    <t>M-LTD-01: Reg Number = 8 chữ số → chấp nhận (BVA/EP)</t>
  </si>
  <si>
    <t>1. Nhập 8 chữ số
2. Rời focus</t>
  </si>
  <si>
    <t>PPAC_KELT_LTDCO_TC_007</t>
  </si>
  <si>
    <t>M-LTD-01: Reg Number = 2 chữ + 8 số → chấp nhận (EP)</t>
  </si>
  <si>
    <t>1. Nhập 2 chữ cái + 8 số
2. Rời focus</t>
  </si>
  <si>
    <t>SC12345678</t>
  </si>
  <si>
    <t>PPAC_KELT_LTDCO_TC_008</t>
  </si>
  <si>
    <t>"Are you a Managing Director?" chưa chọn → lỗi</t>
  </si>
  <si>
    <t>Màn company-info (M-LTD-01 hoặc M-LTD-02)</t>
  </si>
  <si>
    <t>1. Không chọn Yes/No ở "Are you a Managing Director?"
2. Tap "Next →"</t>
  </si>
  <si>
    <t>1. Hiển thị "Please select here"; không điều hướng</t>
  </si>
  <si>
    <t>PPAC_KELT_LTDCO_TC_009</t>
  </si>
  <si>
    <t>MD = No → hiện field "Please enter your position" (State Transition)</t>
  </si>
  <si>
    <t>Màn company-info</t>
  </si>
  <si>
    <t>1. Chọn No ở "Are you a Managing Director?"
2. Quan sát</t>
  </si>
  <si>
    <t>MD=No</t>
  </si>
  <si>
    <t>1. Hiện field "Please enter here" (placeholder "Please enter here")</t>
  </si>
  <si>
    <t>PPAC_KELT_LTDCO_TC_010</t>
  </si>
  <si>
    <t>MD = No + position bỏ trống → lỗi</t>
  </si>
  <si>
    <t>Màn company-info, MD=No (đã hiện field position)</t>
  </si>
  <si>
    <t>1. Để trống "Please enter your position"
2. Tap "Next →"</t>
  </si>
  <si>
    <t>position=(empty)</t>
  </si>
  <si>
    <t>1. Hiển thị "Please enter here" tại field position; không điều hướng</t>
  </si>
  <si>
    <t>PPAC_KELT_LTDCO_TC_011</t>
  </si>
  <si>
    <t>MD = Yes → ẩn field position (State Transition)</t>
  </si>
  <si>
    <t>Màn company-info, MD đang = No (field position hiển thị)</t>
  </si>
  <si>
    <t>1. Đổi sang Yes
2. Quan sát</t>
  </si>
  <si>
    <t>MD=Yes</t>
  </si>
  <si>
    <t>1. Field "Please enter your position" ẩn; không yêu cầu position</t>
  </si>
  <si>
    <t>PPAC_KELT_LTDCO_TC_012</t>
  </si>
  <si>
    <t>"Are you VAT Registered?" chưa chọn → lỗi</t>
  </si>
  <si>
    <t>1. Không chọn Yes/No ở "Are you VAT Registered?"
2. Tap "Next →"</t>
  </si>
  <si>
    <t>VAT=(none)</t>
  </si>
  <si>
    <t>PPAC_KELT_LTDCO_TC_013</t>
  </si>
  <si>
    <t>M-LTD-02: Company Trading Name bỏ trống → lỗi</t>
  </si>
  <si>
    <t>Màn Company Registration Name (M-LTD-02)</t>
  </si>
  <si>
    <t>1. Để trống Company Trading Name
2. Tap "Next →"</t>
  </si>
  <si>
    <t>PPAC_KELT_LTDCO_TC_014</t>
  </si>
  <si>
    <t>M-LTD-02: Trading Name nhập text bất kỳ → chấp nhận (KHÔNG validate format)</t>
  </si>
  <si>
    <t>Màn Company Registration Name</t>
  </si>
  <si>
    <t>1. Nhập text bất kỳ không trống
2. Rời focus</t>
  </si>
  <si>
    <t>ABC Builders Ltd</t>
  </si>
  <si>
    <t>1. Không lỗi; field chấp nhận text bất kỳ (không validate format reg number)</t>
  </si>
  <si>
    <t>PPAC_KELT_LTDCO_TC_015</t>
  </si>
  <si>
    <t>Hoàn tất company-info (VAT=No) → Next → Welcome Industrial Labour LTD</t>
  </si>
  <si>
    <t>Màn company-info, đã nhập Reg Number/Trading Name + MD + VAT</t>
  </si>
  <si>
    <t>1. Nhập đủ field hợp lệ, chọn VAT Registered = No
2. Tap "Next →"</t>
  </si>
  <si>
    <t>Reg=12345678; MD=Yes; VAT=No</t>
  </si>
  <si>
    <t>1. Điều hướng tới Welcome "Welcome to Industrial Labour LTD payroll services." → Personal information bản Limited</t>
  </si>
  <si>
    <t>PPAC_KELT_PILTD_TC_001</t>
  </si>
  <si>
    <t>PILTD</t>
  </si>
  <si>
    <t>Happy path VAT=No → Next sang Health Questionnaire</t>
  </si>
  <si>
    <t>Đã vào PILTD, VAT Registered = No (không có field VAT)</t>
  </si>
  <si>
    <t>1. Upload passport
2. Nhập Address/City/Postcode, Phone
3. Nhập UTR, Company trading name, Company registration number, Name of bank, Bank account, Sort code, chọn Trade
4. Tap "Next →"</t>
  </si>
  <si>
    <t>Phone=07700900111; UTR=1234567890; Bank acc=12345678; Sort=12-34-56; Roll=(trống)</t>
  </si>
  <si>
    <t>1. Mọi field hợp lệ, không lỗi
2. Điều hướng tới tab Health Questionnaire</t>
  </si>
  <si>
    <t>PPAC_KELT_PILTD_TC_002</t>
  </si>
  <si>
    <t>Your passport bỏ trống → "Please upload your passport"</t>
  </si>
  <si>
    <t>Màn PILTD, chưa upload passport</t>
  </si>
  <si>
    <t>1. Để trống passport
2. Tap "Next →"</t>
  </si>
  <si>
    <t>1. Hiển thị "Please upload your passport"; không điều hướng</t>
  </si>
  <si>
    <t>PPAC_KELT_PILTD_TC_003</t>
  </si>
  <si>
    <t>Field pre-filled (Surname/Forenames/Email) read-only</t>
  </si>
  <si>
    <t>Màn PILTD</t>
  </si>
  <si>
    <t>1. Thử chỉnh sửa / xóa Surname, Forenames, Email</t>
  </si>
  <si>
    <t>1. Không cho chỉnh sửa/xóa — 3 field read-only, giữ nguyên từ profile</t>
  </si>
  <si>
    <t>PPAC_KELT_PILTD_TC_004</t>
  </si>
  <si>
    <t>Khác CIS — KHÔNG có NIN/DOB/Citizenship/Contract start/Next of Kin/Tel</t>
  </si>
  <si>
    <t>1. Cuộn toàn bộ form, tìm các field NIN, Date of Birth, Citizenship, Contract/Job start date, Next of Kin, Tel (Next of Kin)</t>
  </si>
  <si>
    <t>1. KHÔNG có 6 field này ở bản Limited (khác CIS)</t>
  </si>
  <si>
    <t>PPAC_KELT_PILTD_TC_005</t>
  </si>
  <si>
    <t>Có field Company trading name + Company registration number</t>
  </si>
  <si>
    <t>1. Cuộn form tìm 2 field Company</t>
  </si>
  <si>
    <t>1. CÓ "Company trading name" và "Company registration number" (đặc thù Limited)</t>
  </si>
  <si>
    <t>PPAC_KELT_PILTD_TC_006</t>
  </si>
  <si>
    <t>Company trading name pre-fill từ M-LTD-02</t>
  </si>
  <si>
    <t>Đã chọn path Company Trading Name ở company-info, nhập "ABC Builders Ltd"</t>
  </si>
  <si>
    <t>1. Vào PILTD, quan sát field "Company trading name"</t>
  </si>
  <si>
    <t>đã nhập "ABC Builders Ltd" ở M-LTD-02</t>
  </si>
  <si>
    <t>1. Field "Company trading name" điền sẵn = "ABC Builders Ltd" (pre-fill từ M-LTD-02)</t>
  </si>
  <si>
    <t>PPAC_KELT_PILTD_TC_007</t>
  </si>
  <si>
    <t>Company registration number pre-fill từ M-LTD-01</t>
  </si>
  <si>
    <t>Đã chọn path Company Registration Number ở company-info, nhập "SC12345678"</t>
  </si>
  <si>
    <t>1. Vào PILTD, quan sát field "Company registration number"</t>
  </si>
  <si>
    <t>đã nhập "SC12345678" ở M-LTD-01</t>
  </si>
  <si>
    <t>1. Field "Company registration number" điền sẵn = "SC12345678" (pre-fill từ M-LTD-01)</t>
  </si>
  <si>
    <t>PPAC_KELT_PILTD_TC_008</t>
  </si>
  <si>
    <t>VAT Registered = Yes → hiện VAT Number + Your VAT Certificate (Decision Table)</t>
  </si>
  <si>
    <t>Đã chọn VAT Registered = Yes ở company-info</t>
  </si>
  <si>
    <t>1. Vào PILTD
2. Quan sát vùng sau UTR Number</t>
  </si>
  <si>
    <t>VAT=Yes</t>
  </si>
  <si>
    <t>1. Hiện thêm VAT Number + Your VAT Certificate (upload) ngay sau UTR Number</t>
  </si>
  <si>
    <t>PPAC_KELT_PILTD_TC_009</t>
  </si>
  <si>
    <t>VAT Registered = No → KHÔNG có VAT Number/Certificate</t>
  </si>
  <si>
    <t>Đã chọn VAT Registered = No ở company-info</t>
  </si>
  <si>
    <t>VAT=No</t>
  </si>
  <si>
    <t>1. KHÔNG có field VAT Number / Your VAT Certificate</t>
  </si>
  <si>
    <t>PPAC_KELT_PILTD_TC_010</t>
  </si>
  <si>
    <t>VAT=Yes — upload Your VAT Certificate qua component</t>
  </si>
  <si>
    <t>Màn PILTD, VAT=Yes</t>
  </si>
  <si>
    <t>1. Tap "+ Upload document" ở Your VAT Certificate
2. Chọn nguồn → chụp/upload → Okay</t>
  </si>
  <si>
    <t>VAT Certificate document</t>
  </si>
  <si>
    <t>1. Mở component "Pick your source of document" → upload thành công → card "VAT Certificate Document" (✓) hiển thị ở field</t>
  </si>
  <si>
    <t>PPAC_KELT_PILTD_TC_011</t>
  </si>
  <si>
    <t>1. Nhập Phone &lt; 11 số
2. Tap "Next →"</t>
  </si>
  <si>
    <t>Phone=8272930</t>
  </si>
  <si>
    <t>PPAC_KELT_PILTD_TC_012</t>
  </si>
  <si>
    <t>UTR sai format → lỗi verbatim</t>
  </si>
  <si>
    <t>1. Hiển thị "The UTR number can only be of the form - 1234567890 or 1234567890K"</t>
  </si>
  <si>
    <t>PPAC_KELT_PILTD_TC_013</t>
  </si>
  <si>
    <t>Bank account ≠ 8 số (boundary 7 số) → lỗi</t>
  </si>
  <si>
    <t>1. Hiển thị "the bank account number can only be of the form - 12345678 or 8 digits ex.12345678"</t>
  </si>
  <si>
    <t>PPAC_KELT_PILTD_TC_014</t>
  </si>
  <si>
    <t>Name of bank / Sort code bỏ trống → "Please enter here"</t>
  </si>
  <si>
    <t>1. Để trống Name of bank và Sort code
2. Tap "Next →"</t>
  </si>
  <si>
    <t>1. Mỗi field hiển thị "Please enter here"; không điều hướng</t>
  </si>
  <si>
    <t>PPAC_KELT_PILTD_TC_015</t>
  </si>
  <si>
    <t>Address / City / Postcode bỏ trống → lỗi required</t>
  </si>
  <si>
    <t>1. Để trống Address, City, Postcode
2. Tap "Next →"</t>
  </si>
  <si>
    <t>1. Mỗi field hiển thị lỗi required; không điều hướng</t>
  </si>
  <si>
    <t>PPAC_KELT_PILTD_TC_016</t>
  </si>
  <si>
    <t>PPAC_KELT_PILTD_TC_017</t>
  </si>
  <si>
    <t>Màn PILTD, field bắt buộc hợp lệ, Roll number trống</t>
  </si>
  <si>
    <t>1. Để trống Roll number
2. Tap "Next →"</t>
  </si>
  <si>
    <t>Roll=(empty)</t>
  </si>
  <si>
    <t>1. KHÔNG báo lỗi Roll number; điều hướng sang Health Questionnaire</t>
  </si>
  <si>
    <t>PPAC_KELT_PILTD_TC_018</t>
  </si>
  <si>
    <t>Happy path VAT=Yes (đã upload VAT cert) → Next sang Health Questionnaire</t>
  </si>
  <si>
    <t>Màn PILTD, VAT=Yes, đã upload VAT Certificate</t>
  </si>
  <si>
    <t>1. Điền đủ field hợp lệ + VAT Number
2. Tap "Next →"</t>
  </si>
  <si>
    <t>VAT Number=GB123456789; các field hợp lệ</t>
  </si>
  <si>
    <t>1. Không lỗi; điều hướng tới tab Health Questionnaire</t>
  </si>
  <si>
    <t>PPAC_KELT_PIUMB_TC_001</t>
  </si>
  <si>
    <t>PIUMB</t>
  </si>
  <si>
    <t>Happy path → Next sang Health Questionnaire</t>
  </si>
  <si>
    <t>Màn Personal information bản Umbrella</t>
  </si>
  <si>
    <t>1. Upload passport
2. Nhập Address/City/Postcode, Phone, NIN
3. Chọn Contract start date, Next of Kin + Tel, Trade
4. Nhập Name of bank, Bank account, Sort code
5. Tap "Next →"</t>
  </si>
  <si>
    <t>Phone=07700900111; NIN=AH123456L; Bank acc=12345678; Sort=12-34-56</t>
  </si>
  <si>
    <t>PPAC_KELT_PIUMB_TC_002</t>
  </si>
  <si>
    <t>Màn PIUMB, chưa upload passport</t>
  </si>
  <si>
    <t>PPAC_KELT_PIUMB_TC_003</t>
  </si>
  <si>
    <t>Field pre-filled (cả 5) read-only</t>
  </si>
  <si>
    <t>Màn PIUMB</t>
  </si>
  <si>
    <t>1. Thử chỉnh sửa / xóa Surname, Forenames, Email, Date of Birth, Citizenship</t>
  </si>
  <si>
    <t>1. Không cho chỉnh sửa/xóa — cả 5 field read-only</t>
  </si>
  <si>
    <t>PPAC_KELT_PIUMB_TC_004</t>
  </si>
  <si>
    <t>KHÔNG có field UTR Number (khác CIS)</t>
  </si>
  <si>
    <t>1. Cuộn toàn bộ form tìm field "UTR Number"</t>
  </si>
  <si>
    <t>1. KHÔNG có field UTR Number (đặc trưng Umbrella — khác CIS có UTR)</t>
  </si>
  <si>
    <t>PPAC_KELT_PIUMB_TC_005</t>
  </si>
  <si>
    <t>KHÔNG có VAT / Company fields</t>
  </si>
  <si>
    <t>1. Tìm field VAT Number, Your VAT Certificate, Company trading name, Company registration number</t>
  </si>
  <si>
    <t>1. KHÔNG có các field VAT/Company (chỉ Limited mới có)</t>
  </si>
  <si>
    <t>PPAC_KELT_PIUMB_TC_006</t>
  </si>
  <si>
    <t>CÓ NIN/DOB/Citizenship/Contract/Next of Kin/Tel (giống CIS)</t>
  </si>
  <si>
    <t>1. Cuộn form xác nhận có các field này</t>
  </si>
  <si>
    <t>1. CÓ National Insurance Number, Date of Birth, Citizenship, Contract/Job start date, Next of Kin, Tel (Next of Kin) — giống CIS</t>
  </si>
  <si>
    <t>PPAC_KELT_PIUMB_TC_007</t>
  </si>
  <si>
    <t>NIN sai format → lỗi verbatim (đại diện)</t>
  </si>
  <si>
    <t>1. Nhập NIN sai
2. Tap "Next →"</t>
  </si>
  <si>
    <t>1. Hiển thị "Please enter the right format: 2 letters, 6 numbers, 1 letter (e.g. AA999999A)"</t>
  </si>
  <si>
    <t>PPAC_KELT_PIUMB_TC_008</t>
  </si>
  <si>
    <t>Candidate's Mobile Phone &lt; 11 số → lỗi (đại diện)</t>
  </si>
  <si>
    <t>1. Hiển thị "either your phone number is invalid or use at least 11 digits"</t>
  </si>
  <si>
    <t>PPAC_KELT_PIUMB_TC_009</t>
  </si>
  <si>
    <t>Bank account ≠ 8 số → lỗi (đại diện)</t>
  </si>
  <si>
    <t>PPAC_KELT_PIUMB_TC_010</t>
  </si>
  <si>
    <t>1. Mỗi field hiển thị "Please enter here"</t>
  </si>
  <si>
    <t>PPAC_KELT_HQ_TC_001</t>
  </si>
  <si>
    <t>HQ</t>
  </si>
  <si>
    <t>Trả lời đủ 10 câu (mix) + details hợp lệ → Next sang Declarations</t>
  </si>
  <si>
    <t>Màn Health Questionnaire</t>
  </si>
  <si>
    <t>1. Trả lời 10 câu (vài câu Yes có nhập details, còn lại No)
2. Tap "Next →"</t>
  </si>
  <si>
    <t>Q1=Yes details "Asthma - using inhaler"; còn lại No</t>
  </si>
  <si>
    <t>1. Không lỗi; điều hướng tới tab Declarations</t>
  </si>
  <si>
    <t>PPAC_KELT_HQ_TC_002</t>
  </si>
  <si>
    <t>Bỏ trống ≥1 câu → "Please answer this question"</t>
  </si>
  <si>
    <t>1. Để trống 1 câu (vd Q2)
2. Trả lời các câu khác
3. Tap "Next →"</t>
  </si>
  <si>
    <t>Q2=(chưa chọn)</t>
  </si>
  <si>
    <t>1. Hiển thị "Please answer this question" tại Q2; không điều hướng</t>
  </si>
  <si>
    <t>PPAC_KELT_HQ_TC_003</t>
  </si>
  <si>
    <t>Chọn Yes → hiện field "Please enter details" (State Transition)</t>
  </si>
  <si>
    <t>1. Chọn Yes ở 1 câu
2. Quan sát</t>
  </si>
  <si>
    <t>Q1=Yes</t>
  </si>
  <si>
    <t>1. Hiện field "Please enter details" (placeholder "Please enter here") dưới câu đó</t>
  </si>
  <si>
    <t>PPAC_KELT_HQ_TC_004</t>
  </si>
  <si>
    <t>Yes + details bỏ trống → "Please give us the details here"</t>
  </si>
  <si>
    <t>Màn Health Questionnaire, 1 câu = Yes (field details hiển thị)</t>
  </si>
  <si>
    <t>1. Để trống field details
2. Tap "Next →"</t>
  </si>
  <si>
    <t>Q1=Yes, details=(empty)</t>
  </si>
  <si>
    <t>1. Hiển thị "Please give us the details here"; không điều hướng</t>
  </si>
  <si>
    <t>PPAC_KELT_HQ_TC_005</t>
  </si>
  <si>
    <t>Chọn No → ẩn field details (State Transition)</t>
  </si>
  <si>
    <t>1. Chọn No ở 1 câu
2. Quan sát</t>
  </si>
  <si>
    <t>Q1=No</t>
  </si>
  <si>
    <t>1. Ẩn field "Please enter details" của câu đó</t>
  </si>
  <si>
    <t>PPAC_KELT_HQ_TC_006</t>
  </si>
  <si>
    <t>Đổi Yes → No sau khi đã hiện details → ẩn field (State Transition)</t>
  </si>
  <si>
    <t>Màn Health Questionnaire, 1 câu = Yes (details hiển thị)</t>
  </si>
  <si>
    <t>1. Đổi câu đó sang No
2. Quan sát</t>
  </si>
  <si>
    <t>Q1: Yes→No</t>
  </si>
  <si>
    <t>1. Field details ẩn (trạng thái reset)</t>
  </si>
  <si>
    <t>PPAC_KELT_HQ_TC_007</t>
  </si>
  <si>
    <t>Tất cả 10 câu = No → Next sang Declarations</t>
  </si>
  <si>
    <t>1. Chọn No cho cả 10 câu
2. Tap "Next →"</t>
  </si>
  <si>
    <t>all=No</t>
  </si>
  <si>
    <t>1. Không có field details; điều hướng tới Declarations</t>
  </si>
  <si>
    <t>PPAC_KELT_HQ_TC_008</t>
  </si>
  <si>
    <t>Tất cả 10 câu = Yes + điền đủ details → Next</t>
  </si>
  <si>
    <t>1. Chọn Yes cả 10 câu
2. Nhập details mỗi câu
3. Tap "Next →"</t>
  </si>
  <si>
    <t>all=Yes + details</t>
  </si>
  <si>
    <t>1. Mỗi câu hiện field details; điền đủ → điều hướng tới Declarations</t>
  </si>
  <si>
    <t>PPAC_KELT_HQ_TC_009</t>
  </si>
  <si>
    <t>Tất cả câu chưa trả lời → mỗi câu báo lỗi</t>
  </si>
  <si>
    <t>Màn Health Questionnaire trống</t>
  </si>
  <si>
    <t>1. Không trả lời câu nào
2. Tap "Next →"</t>
  </si>
  <si>
    <t>1. Mỗi câu (10 câu) hiển thị "Please answer this question"</t>
  </si>
  <si>
    <t>PPAC_KELT_HQ_TC_010</t>
  </si>
  <si>
    <t>Hiển thị đủ 10 câu đúng nội dung/thứ tự + intro verbatim</t>
  </si>
  <si>
    <t>1. Quan sát intro + danh sách câu hỏi</t>
  </si>
  <si>
    <t>1. Intro "Details given are deemed relevant in the interest of your Health and Safety and allow the company to assess the risk to your health."
2. Đủ 10 câu Q1–8, 8.1, 8.2 đúng nội dung/thứ tự (xem requirements §4.5)</t>
  </si>
  <si>
    <t>PPAC_KELT_HQ_TC_011</t>
  </si>
  <si>
    <t>Mỗi câu radio Yes/No mutually exclusive</t>
  </si>
  <si>
    <t>1. Chọn Yes 1 câu
2. Chọn No cùng câu đó</t>
  </si>
  <si>
    <t>1. Chỉ 1 lựa chọn active; chọn No bỏ chọn Yes</t>
  </si>
  <si>
    <t>PPAC_KELT_HQ_TC_012</t>
  </si>
  <si>
    <t>Health Questionnaire giống nhau ở CIS / Limited / Umbrella</t>
  </si>
  <si>
    <t>Vào Health Questionnaire từ mỗi nhánh</t>
  </si>
  <si>
    <t>1. So sánh tab Health Questionnaire ở 3 nhánh</t>
  </si>
  <si>
    <t>1. Nội dung + hành vi 10 câu giống hệt ở cả 3 nhánh (AMB-31)</t>
  </si>
  <si>
    <t>PPAC_KELT_DECL_TC_001</t>
  </si>
  <si>
    <t>DECL</t>
  </si>
  <si>
    <t>Tick checkbox + Next → Skill card verification</t>
  </si>
  <si>
    <t>Màn Declarations</t>
  </si>
  <si>
    <t>1. Tick checkbox xác nhận
2. Tap "Next →"</t>
  </si>
  <si>
    <t>checkbox = ON</t>
  </si>
  <si>
    <t>1. Điều hướng tới Skill card verification (M07)</t>
  </si>
  <si>
    <t>PPAC_KELT_DECL_TC_002</t>
  </si>
  <si>
    <t>Chưa tick checkbox + Next → lỗi</t>
  </si>
  <si>
    <t>Màn Declarations, checkbox OFF</t>
  </si>
  <si>
    <t>1. Không tick checkbox
2. Tap "Next →"</t>
  </si>
  <si>
    <t>checkbox = OFF</t>
  </si>
  <si>
    <t>1. Hiển thị lỗi đỏ "Please review and confirm these declarations to continue."; không điều hướng</t>
  </si>
  <si>
    <t>PPAC_KELT_DECL_TC_003</t>
  </si>
  <si>
    <t>Link "Keltbray Privacy Policies" → mở trình duyệt ngoài</t>
  </si>
  <si>
    <t>1. Tap link "Keltbray Privacy Policies"</t>
  </si>
  <si>
    <t>1. Mở trình duyệt ngoài (external browser) tới trang Keltbray Privacy Policy [URL verify khi test]</t>
  </si>
  <si>
    <t>PPAC_KELT_DECL_TC_004</t>
  </si>
  <si>
    <t>Link "Keltbray GDPR Privacy Policies" → mở trình duyệt ngoài</t>
  </si>
  <si>
    <t>1. Tap link "Keltbray GDPR Privacy Policies"</t>
  </si>
  <si>
    <t>1. Mở browser ngoài tới Keltbray GDPR Privacy Policy [URL verify]</t>
  </si>
  <si>
    <t>PPAC_KELT_DECL_TC_005</t>
  </si>
  <si>
    <t>Link "{Provider} GDPR Privacy Policies" → mở trình duyệt ngoài</t>
  </si>
  <si>
    <t>1. Tap link "{Provider} GDPR Privacy Policies" (vd "Riddingtons GDPR Privacy Policies")</t>
  </si>
  <si>
    <t>1. Mở browser ngoài tới {Provider} GDPR Privacy Policy [URL verify]</t>
  </si>
  <si>
    <t>PPAC_KELT_DECL_TC_006</t>
  </si>
  <si>
    <t>Link #3 + text checkbox đổi theo provider</t>
  </si>
  <si>
    <t>Vào Declarations từ các nhánh khác nhau</t>
  </si>
  <si>
    <t>1. CIS·Riddingtons → quan sát
2. CIS·Industrial Labour → quan sát
3. Umbrella → quan sát</t>
  </si>
  <si>
    <t>1. Link #3 + tên trong checkbox đổi theo provider: Riddingtons / Industrial Labour ("…sent to Keltbray and {Provider} my payroll provider")</t>
  </si>
  <si>
    <t>PPAC_KELT_DECL_TC_007</t>
  </si>
  <si>
    <t>Body + checkbox verbatim</t>
  </si>
  <si>
    <t>1. Đọc body + text checkbox</t>
  </si>
  <si>
    <t>1. Body "Please confirm you understand and agree with keltbray rules and policies:"
2. Checkbox "I can confirm that all the information is correct, and I understand my details will be sent to Keltbray and {Provider} my payroll provider"</t>
  </si>
  <si>
    <t>PPAC_KELT_SKILL_TC_001</t>
  </si>
  <si>
    <t>SKILL</t>
  </si>
  <si>
    <t>Chưa chọn Skill card type → Continue disabled</t>
  </si>
  <si>
    <t>Màn Skill card verification, chưa chọn type</t>
  </si>
  <si>
    <t>1. Quan sát nút Continue khi chưa chọn type</t>
  </si>
  <si>
    <t>1. Nút "Continue →" disabled (mờ); không bấm được</t>
  </si>
  <si>
    <t>PPAC_KELT_SKILL_TC_002</t>
  </si>
  <si>
    <t>Chọn Skill card type → Continue enabled</t>
  </si>
  <si>
    <t>Màn Skill card verification</t>
  </si>
  <si>
    <t>1. Chọn 1 Skill card type
2. Quan sát nút Continue</t>
  </si>
  <si>
    <t>type = SIA</t>
  </si>
  <si>
    <t>1. Nút "Continue →" enabled (đậm) sau khi chọn</t>
  </si>
  <si>
    <t>PPAC_KELT_SKILL_TC_003</t>
  </si>
  <si>
    <t>Chọn type + Continue → submission thành công (popup)</t>
  </si>
  <si>
    <t>Màn Skill card verification, đã chọn type</t>
  </si>
  <si>
    <t>1. Chọn Skill card type
2. Tap "Continue →"</t>
  </si>
  <si>
    <t>1. Hiển thị popup "Your check has been submitted!" = submission thành công</t>
  </si>
  <si>
    <t>PPAC_KELT_SKILL_TC_004</t>
  </si>
  <si>
    <t>Body + label verbatim</t>
  </si>
  <si>
    <t>1. Đọc tiêu đề + body + label</t>
  </si>
  <si>
    <t>1. Tiêu đề "Skill card verification"; body "We need your skill card information to complete the compliance check."; label "Skill card type"; placeholder "Select skill card type"</t>
  </si>
  <si>
    <t>PPAC_KELT_DOC_TC_001</t>
  </si>
  <si>
    <t>DOC</t>
  </si>
  <si>
    <t>Bấm "+ Upload document" → sheet "Pick your source of document"</t>
  </si>
  <si>
    <t>Field Your VAT Certificate, chưa upload</t>
  </si>
  <si>
    <t>1. Tap "+ Upload document"</t>
  </si>
  <si>
    <t>1. Mở bottom sheet "Pick your source of document" với 2 nút: "Open camera" + "Upload from your device"</t>
  </si>
  <si>
    <t>PPAC_KELT_DOC_TC_002</t>
  </si>
  <si>
    <t>Open camera → màn "Capture your document"</t>
  </si>
  <si>
    <t>Sheet "Pick your source of document"</t>
  </si>
  <si>
    <t>1. Tap "Open camera"</t>
  </si>
  <si>
    <t>1. Mở màn "Capture your document" + hướng dẫn "Position your VAT Certificate Document within the frame and ensure the details are clearly readable." + nút chụp</t>
  </si>
  <si>
    <t>PPAC_KELT_DOC_TC_003</t>
  </si>
  <si>
    <t>Chụp → màn preview với Retake/Okay</t>
  </si>
  <si>
    <t>Màn "Capture your document"</t>
  </si>
  <si>
    <t>1. Tap nút chụp</t>
  </si>
  <si>
    <t>1. Hiển thị màn preview "VAT Certificate Document" với ảnh vừa chụp + 2 nút "Retake" / "Okay"</t>
  </si>
  <si>
    <t>PPAC_KELT_DOC_TC_004</t>
  </si>
  <si>
    <t>Retake → chụp lại</t>
  </si>
  <si>
    <t>Màn preview (sau chụp)</t>
  </si>
  <si>
    <t>1. Tap "Retake"</t>
  </si>
  <si>
    <t>1. Quay lại màn camera để chụp lại</t>
  </si>
  <si>
    <t>PPAC_KELT_DOC_TC_005</t>
  </si>
  <si>
    <t>Okay → quay về form, card đã upload hiển thị</t>
  </si>
  <si>
    <t>1. Tap "Okay"</t>
  </si>
  <si>
    <t>1. Quay về form; field hiển thị card "VAT Certificate Document" (icon ✓ xanh) + icon thùng rác</t>
  </si>
  <si>
    <t>PPAC_KELT_DOC_TC_006</t>
  </si>
  <si>
    <t>Upload from your device → mở file picker</t>
  </si>
  <si>
    <t>1. Tap "Upload from your device"</t>
  </si>
  <si>
    <t>1. Mở file picker của thiết bị (chọn file png/jpg/jpeg/doc/docx/pdf)</t>
  </si>
  <si>
    <t>PPAC_KELT_DOC_TC_007</t>
  </si>
  <si>
    <t>Tap card đã upload → view + "Remove and Resubmit"</t>
  </si>
  <si>
    <t>Field có card "VAT Certificate Document" đã upload</t>
  </si>
  <si>
    <t>1. Tap vào card</t>
  </si>
  <si>
    <t>1. Mở màn "VAT Certificate Document" xem ảnh + nút "Remove and Resubmit"</t>
  </si>
  <si>
    <t>PPAC_KELT_DOC_TC_008</t>
  </si>
  <si>
    <t>"Remove and Resubmit" → xóa &amp; chụp/upload lại</t>
  </si>
  <si>
    <t>Màn view "VAT Certificate Document"</t>
  </si>
  <si>
    <t>1. Tap "Remove and Resubmit"</t>
  </si>
  <si>
    <t>1. Xóa tài liệu hiện tại, cho phép chụp/upload lại (quay về sheet/camera)</t>
  </si>
  <si>
    <t>PPAC_KELT_DOC_TC_009</t>
  </si>
  <si>
    <t>Tap thùng rác → dialog "Remove VAT Certificate Document?"</t>
  </si>
  <si>
    <t>Field có card đã upload</t>
  </si>
  <si>
    <t>1. Tap icon thùng rác trên card</t>
  </si>
  <si>
    <t>1. Hiển thị dialog "Remove VAT Certificate Document?" với 2 nút "Yes, remove it!" / "Cancel"</t>
  </si>
  <si>
    <t>PPAC_KELT_DOC_TC_010</t>
  </si>
  <si>
    <t>Dialog xóa: "Yes, remove it!" xóa / "Cancel" giữ</t>
  </si>
  <si>
    <t>Dialog "Remove VAT Certificate Document?"</t>
  </si>
  <si>
    <t>1. Tap "Yes, remove it!" (TH1) / "Cancel" (TH2)</t>
  </si>
  <si>
    <t>1. "Yes, remove it!" → xóa card, field trống lại
2. "Cancel" → đóng dialog, giữ nguyên file</t>
  </si>
  <si>
    <t>PPAC_KELT_NSITE_TC_001</t>
  </si>
  <si>
    <t>NSITE</t>
  </si>
  <si>
    <t>Chọn location + subcontractor → Continue → Skill card</t>
  </si>
  <si>
    <t>Màn Select site location</t>
  </si>
  <si>
    <t>1. Chọn Select site location
2. Chọn Select subcontractor
3. Tap "Continue →"</t>
  </si>
  <si>
    <t>site + subcontractor (chọn bất kỳ)</t>
  </si>
  <si>
    <t>1. Điều hướng tới màn Skill card verification (N03)</t>
  </si>
  <si>
    <t>PPAC_KELT_NSITE_TC_002</t>
  </si>
  <si>
    <t>Hiển thị 2 dropdown + checkbox + Continue</t>
  </si>
  <si>
    <t>1. Quan sát màn</t>
  </si>
  <si>
    <t>1. Có "Select site location", "Select subcontractor", checkbox "I can't find my subcontractor in the list", nút "Continue →", bottom nav 4 mục</t>
  </si>
  <si>
    <t>PPAC_KELT_NSKILL_TC_001</t>
  </si>
  <si>
    <t>NSKILL</t>
  </si>
  <si>
    <t>Màn Skill card verification (normal)</t>
  </si>
  <si>
    <t>1. Quan sát nút Continue khi chưa chọn</t>
  </si>
  <si>
    <t>1. Nút "Continue →" disabled</t>
  </si>
  <si>
    <t>PPAC_KELT_NSKILL_TC_002</t>
  </si>
  <si>
    <t>1. Hiển thị popup "Your check has been submitted!"</t>
  </si>
  <si>
    <t>PPAC_KELT_NSKILL_TC_003</t>
  </si>
  <si>
    <t>Body + helper "Not Applicable" + label verbatim</t>
  </si>
  <si>
    <t>1. Đọc body, helper, label; mở dropdown</t>
  </si>
  <si>
    <t>1. Body "We need your skill card information to complete the compliance check."
2. Helper "If your trade/occupation does not require a skill card please scroll to Not Applicable."
3. Label "Skill card type:"; dropdown có option "Not Applicable"</t>
  </si>
  <si>
    <t>PPAC_KELT_NAV_TC_001</t>
  </si>
  <si>
    <t>NAV</t>
  </si>
  <si>
    <t>Nhập dở → Back → quay lại → dữ liệu RESET (BR-39, khác DTSource)</t>
  </si>
  <si>
    <t>Đang ở 1 màn (vd Personal information), đã nhập 1 phần</t>
  </si>
  <si>
    <t>1. Nhập 1 phần dữ liệu
2. Tap Back
3. Quay lại màn đó</t>
  </si>
  <si>
    <t>dữ liệu một phần</t>
  </si>
  <si>
    <t>1. Dữ liệu đã nhập bị RESET (không lưu)</t>
  </si>
  <si>
    <t>PPAC_KELT_NAV_TC_002</t>
  </si>
  <si>
    <t>Thoát app giữa journey → mở lại → KHÔNG resume</t>
  </si>
  <si>
    <t>Đang giữa journey onboarding, đã nhập 1 phần</t>
  </si>
  <si>
    <t>1. Thoát app
2. Mở lại onboarding</t>
  </si>
  <si>
    <t>onboarding dở dang</t>
  </si>
  <si>
    <t>1. KHÔNG resume — bắt đầu lại, dữ liệu trước đã mất (reset)</t>
  </si>
  <si>
    <t>PPAC_KELT_E2E_TC_001</t>
  </si>
  <si>
    <t>E2E</t>
  </si>
  <si>
    <t>E2E CIS · Riddingtons → submission thành công</t>
  </si>
  <si>
    <t>Prefix keltbray → KRS</t>
  </si>
  <si>
    <t>1. WPS=CIS, provider=Riddingtons
2. Welcome → Personal info (đủ field hợp lệ)
3. Health Q (all No)
4. Declarations (tick)
5. Skill card type + Continue</t>
  </si>
  <si>
    <t>NIN=AH123456L; Phone=07700900111; Bank=12345678; type=SIA</t>
  </si>
  <si>
    <t>1. Đi qua đúng thứ tự, không bị chặn
2. Popup "Your check has been submitted!"</t>
  </si>
  <si>
    <t>PPAC_KELT_E2E_TC_002</t>
  </si>
  <si>
    <t>E2E CIS · Industrial Labour → submission thành công</t>
  </si>
  <si>
    <t>1. WPS=CIS, provider=Industrial Labour
2. Welcome (Industrial Labour LTD) → Personal info
3. Health Q → Declarations → Skill card + Continue</t>
  </si>
  <si>
    <t>(như E2E_TC_001)</t>
  </si>
  <si>
    <t>1. Popup "Your check has been submitted!"</t>
  </si>
  <si>
    <t>PPAC_KELT_E2E_TC_003</t>
  </si>
  <si>
    <t>E2E Limited (VAT=No) → submission thành công</t>
  </si>
  <si>
    <t>1. WPS=Limited → Company Registration Number (12345678) + MD=Yes + VAT=No
2. Welcome → Personal info Limited
3. Health Q → Declarations → Skill card + Continue</t>
  </si>
  <si>
    <t>Reg=12345678; type=SIA</t>
  </si>
  <si>
    <t>PPAC_KELT_E2E_TC_004</t>
  </si>
  <si>
    <t>E2E Limited (VAT=Yes, upload VAT cert) → submission thành công</t>
  </si>
  <si>
    <t>1. WPS=Limited → Company Trading Name + MD=No (position) + VAT=Yes
2. Personal info Limited: nhập VAT Number + upload Your VAT Certificate
3. Health Q → Declarations → Skill card + Continue</t>
  </si>
  <si>
    <t>Trading="ABC Builders Ltd"; VAT Number=GB123456789; type=SIA</t>
  </si>
  <si>
    <t>PPAC_KELT_E2E_TC_005</t>
  </si>
  <si>
    <t>E2E Umbrella → submission thành công</t>
  </si>
  <si>
    <t>1. WPS=Umbrella, provider=Riddingtons
2. Welcome → Personal info Umbrella (không UTR)
3. Health Q → Declarations → Skill card + Continue</t>
  </si>
  <si>
    <t>NIN=AH123456L; Bank=12345678; type=SIA</t>
  </si>
  <si>
    <t>PPAC_KELT_E2E_TC_006</t>
  </si>
  <si>
    <t>E2E Normal (Keltbray-Keltbray) → submission thành công</t>
  </si>
  <si>
    <t>Prefix keltbray</t>
  </si>
  <si>
    <t>1. Chọn "Keltbray - Keltbray" → Continue
2. Select site location + subcontractor → Continue
3. Skill card type + Continue</t>
  </si>
  <si>
    <t>site/subcontractor; type=SIA</t>
  </si>
  <si>
    <t>1. Đi qua 3 bước; popup "Your check has been submitted!"</t>
  </si>
  <si>
    <t>PPAC_KELT_E2E_TC_007</t>
  </si>
  <si>
    <t>Admin portal — submission đã đăng ký thành công</t>
  </si>
  <si>
    <t>Worker vừa submit ở mobile (popup "Your check has been submitted!")</t>
  </si>
  <si>
    <t>1. Đăng nhập Admin portal
2. Tìm submission của worker vừa submit</t>
  </si>
  <si>
    <t>worker = Maya (submission vừa tạo)</t>
  </si>
  <si>
    <t>1. Submission xuất hiện ở Admin portal, đăng ký thành công (status khởi tạo)</t>
  </si>
  <si>
    <t>PPAC_KELT_E2E_TC_008</t>
  </si>
  <si>
    <t>Admin portal — đổi status submission sang "go to site"</t>
  </si>
  <si>
    <t>Submission đã có ở Admin portal (E2E_TC_007)</t>
  </si>
  <si>
    <t>1. Mở submission
2. Đổi status sang "go to site"
3. Lưu</t>
  </si>
  <si>
    <t>status = "go to site"</t>
  </si>
  <si>
    <t>1. Status cập nhật thành công = "go to site"</t>
  </si>
  <si>
    <t>PPAC_KELT_E2E_TC_009</t>
  </si>
  <si>
    <t>Client dashboard — hiển thị submission sau khi status = "go to site"</t>
  </si>
  <si>
    <t>Admin đã đổi status sang "go to site" (E2E_TC_008)</t>
  </si>
  <si>
    <t>1. Đăng nhập Client dashboard
2. Quan sát danh sách submission/worker</t>
  </si>
  <si>
    <t>1. Submission/worker hiển thị trên Client dashboard sau khi status = "go to site" (+ file PDF)</t>
  </si>
  <si>
    <t>PPAC_KELT_E2E_TC_010</t>
  </si>
  <si>
    <t>Email — gửi sau khi status = "go to site"</t>
  </si>
  <si>
    <t>1. Kiểm tra hộp thư (worker / client)
2. Mở email</t>
  </si>
  <si>
    <t>hộp thư worker/client</t>
  </si>
  <si>
    <t>1. Nhận được email thông báo sau khi status đổi sang "go to site" (người nhận + tiêu đề + nội dung + file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</si>
</sst>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theme="1"/>
      <name val="Calibri"/>
      <family val="2"/>
    </font>
    <font>
      <b/>
      <sz val="11"/>
      <color theme="1"/>
      <name val="Calibri"/>
      <family val="2"/>
    </font>
    <font>
      <b/>
      <sz val="11"/>
      <color rgb="FFFFFFFF"/>
      <name val="Calibri"/>
      <family val="2"/>
    </font>
    <font>
      <b/>
      <sz val="16"/>
      <color rgb="FFFFFFFF"/>
      <name val="Aptos Narrow"/>
      <family val="2"/>
      <scheme val="minor"/>
    </font>
    <font>
      <b/>
      <sz val="11"/>
      <color rgb="FFFFFFFF"/>
      <name val="Aptos Narrow"/>
      <family val="2"/>
      <scheme val="minor"/>
    </font>
    <font>
      <i/>
      <sz val="11"/>
      <color rgb="FF666666"/>
      <name val="Aptos Narrow"/>
      <family val="2"/>
      <scheme val="minor"/>
    </font>
  </fonts>
  <fills count="11">
    <fill>
      <patternFill patternType="none"/>
    </fill>
    <fill>
      <patternFill patternType="gray125"/>
    </fill>
    <fill>
      <patternFill patternType="solid">
        <fgColor rgb="FF2F5496"/>
        <bgColor indexed="64"/>
      </patternFill>
    </fill>
    <fill>
      <patternFill patternType="solid">
        <fgColor rgb="FFDEEBF7"/>
        <bgColor indexed="64"/>
      </patternFill>
    </fill>
    <fill>
      <patternFill patternType="solid">
        <fgColor rgb="FFFFF2CC"/>
        <bgColor indexed="64"/>
      </patternFill>
    </fill>
    <fill>
      <patternFill patternType="solid">
        <fgColor rgb="FFFFD9B3"/>
        <bgColor indexed="64"/>
      </patternFill>
    </fill>
    <fill>
      <patternFill patternType="solid">
        <fgColor rgb="FFE2EFDA"/>
        <bgColor indexed="64"/>
      </patternFill>
    </fill>
    <fill>
      <patternFill patternType="solid">
        <fgColor rgb="FFFFC7CE"/>
        <bgColor indexed="64"/>
      </patternFill>
    </fill>
    <fill>
      <patternFill patternType="solid">
        <fgColor rgb="FF1F4E78"/>
        <bgColor indexed="64"/>
      </patternFill>
    </fill>
    <fill>
      <patternFill patternType="solid">
        <fgColor rgb="FF5B9BD5"/>
        <bgColor indexed="64"/>
      </patternFill>
    </fill>
    <fill>
      <patternFill patternType="solid">
        <fgColor rgb="FF70AD4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D9EAF7"/>
      </left>
      <right style="thin">
        <color rgb="FFD9EAF7"/>
      </right>
      <top style="thin">
        <color rgb="FFD9EAF7"/>
      </top>
      <bottom style="thin">
        <color rgb="FFD9EAF7"/>
      </bottom>
      <diagonal/>
    </border>
    <border>
      <left style="thin">
        <color rgb="FFE2F0D9"/>
      </left>
      <right style="thin">
        <color rgb="FFE2F0D9"/>
      </right>
      <top style="thin">
        <color rgb="FFE2F0D9"/>
      </top>
      <bottom style="thin">
        <color rgb="FFE2F0D9"/>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0" fillId="0" borderId="0" xfId="0" applyAlignment="1">
      <alignment vertical="center"/>
    </xf>
    <xf numFmtId="0" fontId="2"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5" fillId="9" borderId="2" xfId="0" applyFont="1" applyFill="1" applyBorder="1" applyAlignment="1">
      <alignment horizontal="center"/>
    </xf>
    <xf numFmtId="0" fontId="5" fillId="10" borderId="3" xfId="0" applyFont="1" applyFill="1" applyBorder="1" applyAlignment="1">
      <alignment horizontal="center"/>
    </xf>
    <xf numFmtId="0" fontId="0" fillId="0" borderId="2" xfId="0" applyBorder="1" applyAlignment="1">
      <alignment horizontal="left"/>
    </xf>
    <xf numFmtId="3" fontId="0" fillId="0" borderId="2" xfId="0" applyNumberFormat="1" applyBorder="1" applyAlignment="1">
      <alignment horizontal="right"/>
    </xf>
    <xf numFmtId="0" fontId="0" fillId="0" borderId="3" xfId="0" applyBorder="1" applyAlignment="1">
      <alignment horizontal="left"/>
    </xf>
    <xf numFmtId="3" fontId="0" fillId="0" borderId="3" xfId="0" applyNumberFormat="1" applyBorder="1" applyAlignment="1">
      <alignment horizontal="right"/>
    </xf>
    <xf numFmtId="3" fontId="0" fillId="0" borderId="0" xfId="0" applyNumberFormat="1"/>
    <xf numFmtId="0" fontId="6" fillId="0" borderId="0" xfId="0" applyFont="1"/>
    <xf numFmtId="0" fontId="6" fillId="0" borderId="0" xfId="0" quotePrefix="1" applyFont="1"/>
    <xf numFmtId="0" fontId="4" fillId="8" borderId="0" xfId="0" applyFont="1" applyFill="1"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B931-4093-4DC7-8546-D3D4A6CC63B9}">
  <dimension ref="A1:E8"/>
  <sheetViews>
    <sheetView workbookViewId="0">
      <selection activeCell="E37" sqref="E37"/>
    </sheetView>
  </sheetViews>
  <sheetFormatPr defaultRowHeight="15"/>
  <cols>
    <col min="1" max="1" width="18.28515625" customWidth="1"/>
    <col min="2" max="2" width="18.140625" customWidth="1"/>
    <col min="4" max="4" width="18.42578125" customWidth="1"/>
    <col min="5" max="5" width="18.28515625" customWidth="1"/>
  </cols>
  <sheetData>
    <row r="1" spans="1:5" ht="21">
      <c r="A1" s="19" t="s">
        <v>0</v>
      </c>
      <c r="B1" s="19"/>
      <c r="D1" s="19" t="s">
        <v>1</v>
      </c>
      <c r="E1" s="19"/>
    </row>
    <row r="3" spans="1:5">
      <c r="A3" s="10" t="s">
        <v>2</v>
      </c>
      <c r="B3" s="10" t="s">
        <v>3</v>
      </c>
      <c r="D3" s="11" t="s">
        <v>4</v>
      </c>
      <c r="E3" s="11" t="s">
        <v>3</v>
      </c>
    </row>
    <row r="4" spans="1:5">
      <c r="A4" s="12" t="s">
        <v>5</v>
      </c>
      <c r="B4" s="13">
        <f>COUNTIF('Keltbray Onboarding'!J:J,A4)</f>
        <v>62</v>
      </c>
      <c r="D4" s="14" t="s">
        <v>6</v>
      </c>
      <c r="E4" s="15">
        <f>COUNTIF('Keltbray Onboarding'!K:K,D4)</f>
        <v>129</v>
      </c>
    </row>
    <row r="5" spans="1:5">
      <c r="A5" s="12" t="s">
        <v>7</v>
      </c>
      <c r="B5" s="13">
        <f>COUNTIF('Keltbray Onboarding'!J:J,A5)</f>
        <v>6</v>
      </c>
      <c r="D5" s="14" t="s">
        <v>8</v>
      </c>
      <c r="E5" s="15">
        <f>COUNTIF('Keltbray Onboarding'!K:K,D5)</f>
        <v>9</v>
      </c>
    </row>
    <row r="6" spans="1:5">
      <c r="A6" s="12" t="s">
        <v>9</v>
      </c>
      <c r="B6" s="13">
        <f>COUNTIF('Keltbray Onboarding'!J:J,A6)</f>
        <v>60</v>
      </c>
      <c r="D6" t="s">
        <v>10</v>
      </c>
      <c r="E6" s="16">
        <f xml:space="preserve"> E4+E5</f>
        <v>138</v>
      </c>
    </row>
    <row r="7" spans="1:5">
      <c r="A7" s="12" t="s">
        <v>11</v>
      </c>
      <c r="B7" s="13">
        <f>COUNTIF('Keltbray Onboarding'!J:J,A7)</f>
        <v>12</v>
      </c>
      <c r="D7" s="17"/>
      <c r="E7" s="18"/>
    </row>
    <row r="8" spans="1:5">
      <c r="A8" t="s">
        <v>10</v>
      </c>
      <c r="B8" s="13">
        <f>B4+B5+B6+B7</f>
        <v>140</v>
      </c>
    </row>
  </sheetData>
  <mergeCells count="2">
    <mergeCell ref="A1:B1"/>
    <mergeCell ref="D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BEDE-335B-4B5B-88DC-2E4C4197CEC1}">
  <dimension ref="A1:K143"/>
  <sheetViews>
    <sheetView tabSelected="1" workbookViewId="0">
      <pane ySplit="1" topLeftCell="A130" activePane="bottomLeft" state="frozenSplit"/>
      <selection pane="bottomLeft" activeCell="K141" sqref="K141"/>
    </sheetView>
  </sheetViews>
  <sheetFormatPr defaultRowHeight="15"/>
  <cols>
    <col min="1" max="1" width="13.7109375" style="2" customWidth="1"/>
    <col min="2" max="2" width="28.140625" style="2" customWidth="1"/>
    <col min="3" max="4" width="12.7109375" style="2" customWidth="1"/>
    <col min="5" max="5" width="40.7109375" style="2" customWidth="1"/>
    <col min="6" max="6" width="30.7109375" style="2" customWidth="1"/>
    <col min="7" max="7" width="50.7109375" style="2" customWidth="1"/>
    <col min="8" max="8" width="28.7109375" style="2" customWidth="1"/>
    <col min="9" max="9" width="50.7109375" style="2" customWidth="1"/>
    <col min="10" max="11" width="12.7109375" style="2" customWidth="1"/>
    <col min="12" max="16384" width="9.140625" style="2"/>
  </cols>
  <sheetData>
    <row r="1" spans="1:11" ht="30" customHeight="1">
      <c r="A1" s="1" t="s">
        <v>12</v>
      </c>
      <c r="B1" s="1" t="s">
        <v>13</v>
      </c>
      <c r="C1" s="1" t="s">
        <v>14</v>
      </c>
      <c r="D1" s="1" t="s">
        <v>15</v>
      </c>
      <c r="E1" s="1" t="s">
        <v>16</v>
      </c>
      <c r="F1" s="1" t="s">
        <v>17</v>
      </c>
      <c r="G1" s="1" t="s">
        <v>18</v>
      </c>
      <c r="H1" s="1" t="s">
        <v>19</v>
      </c>
      <c r="I1" s="1" t="s">
        <v>20</v>
      </c>
      <c r="J1" s="1" t="s">
        <v>2</v>
      </c>
      <c r="K1" s="1" t="s">
        <v>4</v>
      </c>
    </row>
    <row r="2" spans="1:11" ht="30.75">
      <c r="A2" s="3" t="s">
        <v>21</v>
      </c>
      <c r="B2" s="4" t="s">
        <v>22</v>
      </c>
      <c r="C2" s="4" t="s">
        <v>23</v>
      </c>
      <c r="D2" s="5" t="s">
        <v>9</v>
      </c>
      <c r="E2" s="4" t="s">
        <v>24</v>
      </c>
      <c r="F2" s="4" t="s">
        <v>25</v>
      </c>
      <c r="G2" s="4" t="s">
        <v>26</v>
      </c>
      <c r="H2" s="4" t="s">
        <v>27</v>
      </c>
      <c r="I2" s="4" t="s">
        <v>28</v>
      </c>
      <c r="J2" s="5" t="s">
        <v>9</v>
      </c>
      <c r="K2" s="6" t="s">
        <v>6</v>
      </c>
    </row>
    <row r="3" spans="1:11" ht="30.75">
      <c r="A3" s="3" t="s">
        <v>29</v>
      </c>
      <c r="B3" s="4" t="s">
        <v>30</v>
      </c>
      <c r="C3" s="4" t="s">
        <v>23</v>
      </c>
      <c r="D3" s="7" t="s">
        <v>5</v>
      </c>
      <c r="E3" s="4" t="s">
        <v>31</v>
      </c>
      <c r="F3" s="4" t="s">
        <v>32</v>
      </c>
      <c r="G3" s="4" t="s">
        <v>33</v>
      </c>
      <c r="H3" s="4" t="s">
        <v>34</v>
      </c>
      <c r="I3" s="4" t="s">
        <v>35</v>
      </c>
      <c r="J3" s="7" t="s">
        <v>5</v>
      </c>
      <c r="K3" s="6" t="s">
        <v>6</v>
      </c>
    </row>
    <row r="4" spans="1:11" ht="30.75">
      <c r="A4" s="3" t="s">
        <v>36</v>
      </c>
      <c r="B4" s="4" t="s">
        <v>37</v>
      </c>
      <c r="C4" s="4" t="s">
        <v>23</v>
      </c>
      <c r="D4" s="7" t="s">
        <v>5</v>
      </c>
      <c r="E4" s="4" t="s">
        <v>38</v>
      </c>
      <c r="F4" s="4" t="s">
        <v>32</v>
      </c>
      <c r="G4" s="4" t="s">
        <v>39</v>
      </c>
      <c r="H4" s="4" t="s">
        <v>40</v>
      </c>
      <c r="I4" s="4" t="s">
        <v>41</v>
      </c>
      <c r="J4" s="7" t="s">
        <v>5</v>
      </c>
      <c r="K4" s="6" t="s">
        <v>6</v>
      </c>
    </row>
    <row r="5" spans="1:11" ht="30.75">
      <c r="A5" s="3" t="s">
        <v>29</v>
      </c>
      <c r="B5" s="4" t="s">
        <v>42</v>
      </c>
      <c r="C5" s="4" t="s">
        <v>43</v>
      </c>
      <c r="D5" s="7" t="s">
        <v>5</v>
      </c>
      <c r="E5" s="4" t="s">
        <v>44</v>
      </c>
      <c r="F5" s="4" t="s">
        <v>45</v>
      </c>
      <c r="G5" s="4" t="s">
        <v>46</v>
      </c>
      <c r="H5" s="4" t="s">
        <v>47</v>
      </c>
      <c r="I5" s="4" t="s">
        <v>48</v>
      </c>
      <c r="J5" s="7" t="s">
        <v>5</v>
      </c>
      <c r="K5" s="6" t="s">
        <v>6</v>
      </c>
    </row>
    <row r="6" spans="1:11" ht="30.75">
      <c r="A6" s="3" t="s">
        <v>29</v>
      </c>
      <c r="B6" s="4" t="s">
        <v>49</v>
      </c>
      <c r="C6" s="4" t="s">
        <v>43</v>
      </c>
      <c r="D6" s="5" t="s">
        <v>9</v>
      </c>
      <c r="E6" s="4" t="s">
        <v>50</v>
      </c>
      <c r="F6" s="4" t="s">
        <v>51</v>
      </c>
      <c r="G6" s="4" t="s">
        <v>52</v>
      </c>
      <c r="H6" s="4" t="s">
        <v>53</v>
      </c>
      <c r="I6" s="4" t="s">
        <v>54</v>
      </c>
      <c r="J6" s="5" t="s">
        <v>9</v>
      </c>
      <c r="K6" s="6" t="s">
        <v>6</v>
      </c>
    </row>
    <row r="7" spans="1:11" ht="30.75">
      <c r="A7" s="3" t="s">
        <v>29</v>
      </c>
      <c r="B7" s="4" t="s">
        <v>55</v>
      </c>
      <c r="C7" s="4" t="s">
        <v>43</v>
      </c>
      <c r="D7" s="7" t="s">
        <v>5</v>
      </c>
      <c r="E7" s="4" t="s">
        <v>56</v>
      </c>
      <c r="F7" s="4" t="s">
        <v>51</v>
      </c>
      <c r="G7" s="4" t="s">
        <v>57</v>
      </c>
      <c r="H7" s="4" t="s">
        <v>58</v>
      </c>
      <c r="I7" s="4" t="s">
        <v>59</v>
      </c>
      <c r="J7" s="7" t="s">
        <v>5</v>
      </c>
      <c r="K7" s="6" t="s">
        <v>6</v>
      </c>
    </row>
    <row r="8" spans="1:11" ht="30.75">
      <c r="A8" s="3" t="s">
        <v>29</v>
      </c>
      <c r="B8" s="4" t="s">
        <v>60</v>
      </c>
      <c r="C8" s="4" t="s">
        <v>43</v>
      </c>
      <c r="D8" s="7" t="s">
        <v>5</v>
      </c>
      <c r="E8" s="4" t="s">
        <v>61</v>
      </c>
      <c r="F8" s="4" t="s">
        <v>62</v>
      </c>
      <c r="G8" s="4" t="s">
        <v>63</v>
      </c>
      <c r="H8" s="4" t="s">
        <v>64</v>
      </c>
      <c r="I8" s="4" t="s">
        <v>65</v>
      </c>
      <c r="J8" s="7" t="s">
        <v>5</v>
      </c>
      <c r="K8" s="6" t="s">
        <v>6</v>
      </c>
    </row>
    <row r="9" spans="1:11" ht="30.75">
      <c r="A9" s="3" t="s">
        <v>29</v>
      </c>
      <c r="B9" s="4" t="s">
        <v>66</v>
      </c>
      <c r="C9" s="4" t="s">
        <v>43</v>
      </c>
      <c r="D9" s="7" t="s">
        <v>5</v>
      </c>
      <c r="E9" s="4" t="s">
        <v>67</v>
      </c>
      <c r="F9" s="4" t="s">
        <v>68</v>
      </c>
      <c r="G9" s="4" t="s">
        <v>69</v>
      </c>
      <c r="H9" s="4" t="s">
        <v>70</v>
      </c>
      <c r="I9" s="4" t="s">
        <v>71</v>
      </c>
      <c r="J9" s="7" t="s">
        <v>5</v>
      </c>
      <c r="K9" s="6" t="s">
        <v>6</v>
      </c>
    </row>
    <row r="10" spans="1:11" ht="30.75">
      <c r="A10" s="3" t="s">
        <v>29</v>
      </c>
      <c r="B10" s="4" t="s">
        <v>72</v>
      </c>
      <c r="C10" s="4" t="s">
        <v>43</v>
      </c>
      <c r="D10" s="7" t="s">
        <v>5</v>
      </c>
      <c r="E10" s="4" t="s">
        <v>73</v>
      </c>
      <c r="F10" s="4" t="s">
        <v>68</v>
      </c>
      <c r="G10" s="4" t="s">
        <v>74</v>
      </c>
      <c r="H10" s="4" t="s">
        <v>75</v>
      </c>
      <c r="I10" s="4" t="s">
        <v>76</v>
      </c>
      <c r="J10" s="7" t="s">
        <v>5</v>
      </c>
      <c r="K10" s="6" t="s">
        <v>6</v>
      </c>
    </row>
    <row r="11" spans="1:11" ht="60.75">
      <c r="A11" s="3" t="s">
        <v>29</v>
      </c>
      <c r="B11" s="4" t="s">
        <v>77</v>
      </c>
      <c r="C11" s="4" t="s">
        <v>43</v>
      </c>
      <c r="D11" s="7" t="s">
        <v>5</v>
      </c>
      <c r="E11" s="4" t="s">
        <v>78</v>
      </c>
      <c r="F11" s="4" t="s">
        <v>51</v>
      </c>
      <c r="G11" s="4" t="s">
        <v>79</v>
      </c>
      <c r="H11" s="4" t="s">
        <v>80</v>
      </c>
      <c r="I11" s="4" t="s">
        <v>81</v>
      </c>
      <c r="J11" s="7" t="s">
        <v>5</v>
      </c>
      <c r="K11" s="6" t="s">
        <v>6</v>
      </c>
    </row>
    <row r="12" spans="1:11" ht="45.75">
      <c r="A12" s="3" t="s">
        <v>29</v>
      </c>
      <c r="B12" s="4" t="s">
        <v>82</v>
      </c>
      <c r="C12" s="4" t="s">
        <v>43</v>
      </c>
      <c r="D12" s="7" t="s">
        <v>5</v>
      </c>
      <c r="E12" s="4" t="s">
        <v>83</v>
      </c>
      <c r="F12" s="4" t="s">
        <v>51</v>
      </c>
      <c r="G12" s="4" t="s">
        <v>84</v>
      </c>
      <c r="H12" s="4" t="s">
        <v>85</v>
      </c>
      <c r="I12" s="4" t="s">
        <v>86</v>
      </c>
      <c r="J12" s="7" t="s">
        <v>5</v>
      </c>
      <c r="K12" s="6" t="s">
        <v>6</v>
      </c>
    </row>
    <row r="13" spans="1:11" ht="45.75">
      <c r="A13" s="3" t="s">
        <v>29</v>
      </c>
      <c r="B13" s="4" t="s">
        <v>87</v>
      </c>
      <c r="C13" s="4" t="s">
        <v>43</v>
      </c>
      <c r="D13" s="5" t="s">
        <v>9</v>
      </c>
      <c r="E13" s="4" t="s">
        <v>88</v>
      </c>
      <c r="F13" s="4" t="s">
        <v>89</v>
      </c>
      <c r="G13" s="4" t="s">
        <v>90</v>
      </c>
      <c r="H13" s="4" t="s">
        <v>91</v>
      </c>
      <c r="I13" s="4" t="s">
        <v>92</v>
      </c>
      <c r="J13" s="5" t="s">
        <v>9</v>
      </c>
      <c r="K13" s="6" t="s">
        <v>6</v>
      </c>
    </row>
    <row r="14" spans="1:11" ht="30.75">
      <c r="A14" s="3" t="s">
        <v>29</v>
      </c>
      <c r="B14" s="4" t="s">
        <v>93</v>
      </c>
      <c r="C14" s="4" t="s">
        <v>43</v>
      </c>
      <c r="D14" s="8" t="s">
        <v>7</v>
      </c>
      <c r="E14" s="4" t="s">
        <v>94</v>
      </c>
      <c r="F14" s="4" t="s">
        <v>51</v>
      </c>
      <c r="G14" s="4" t="s">
        <v>95</v>
      </c>
      <c r="H14" s="4" t="s">
        <v>53</v>
      </c>
      <c r="I14" s="4" t="s">
        <v>96</v>
      </c>
      <c r="J14" s="8" t="s">
        <v>7</v>
      </c>
      <c r="K14" s="6" t="s">
        <v>6</v>
      </c>
    </row>
    <row r="15" spans="1:11" ht="30.75">
      <c r="A15" s="3" t="s">
        <v>29</v>
      </c>
      <c r="B15" s="4" t="s">
        <v>97</v>
      </c>
      <c r="C15" s="4" t="s">
        <v>98</v>
      </c>
      <c r="D15" s="8" t="s">
        <v>7</v>
      </c>
      <c r="E15" s="4" t="s">
        <v>99</v>
      </c>
      <c r="F15" s="4" t="s">
        <v>100</v>
      </c>
      <c r="G15" s="4" t="s">
        <v>101</v>
      </c>
      <c r="H15" s="4" t="s">
        <v>53</v>
      </c>
      <c r="I15" s="4" t="s">
        <v>102</v>
      </c>
      <c r="J15" s="8" t="s">
        <v>7</v>
      </c>
      <c r="K15" s="6" t="s">
        <v>6</v>
      </c>
    </row>
    <row r="16" spans="1:11" ht="30.75">
      <c r="A16" s="3" t="s">
        <v>29</v>
      </c>
      <c r="B16" s="4" t="s">
        <v>103</v>
      </c>
      <c r="C16" s="4" t="s">
        <v>98</v>
      </c>
      <c r="D16" s="8" t="s">
        <v>7</v>
      </c>
      <c r="E16" s="4" t="s">
        <v>104</v>
      </c>
      <c r="F16" s="4" t="s">
        <v>105</v>
      </c>
      <c r="G16" s="4" t="s">
        <v>101</v>
      </c>
      <c r="H16" s="4" t="s">
        <v>53</v>
      </c>
      <c r="I16" s="4" t="s">
        <v>106</v>
      </c>
      <c r="J16" s="8" t="s">
        <v>7</v>
      </c>
      <c r="K16" s="6" t="s">
        <v>6</v>
      </c>
    </row>
    <row r="17" spans="1:11" ht="60.75">
      <c r="A17" s="3" t="s">
        <v>29</v>
      </c>
      <c r="B17" s="4" t="s">
        <v>107</v>
      </c>
      <c r="C17" s="4" t="s">
        <v>98</v>
      </c>
      <c r="D17" s="5" t="s">
        <v>9</v>
      </c>
      <c r="E17" s="4" t="s">
        <v>108</v>
      </c>
      <c r="F17" s="4" t="s">
        <v>109</v>
      </c>
      <c r="G17" s="4" t="s">
        <v>110</v>
      </c>
      <c r="H17" s="4" t="s">
        <v>53</v>
      </c>
      <c r="I17" s="4" t="s">
        <v>111</v>
      </c>
      <c r="J17" s="5" t="s">
        <v>9</v>
      </c>
      <c r="K17" s="6" t="s">
        <v>6</v>
      </c>
    </row>
    <row r="18" spans="1:11" ht="30.75">
      <c r="A18" s="3" t="s">
        <v>29</v>
      </c>
      <c r="B18" s="4" t="s">
        <v>112</v>
      </c>
      <c r="C18" s="4" t="s">
        <v>98</v>
      </c>
      <c r="D18" s="5" t="s">
        <v>9</v>
      </c>
      <c r="E18" s="4" t="s">
        <v>113</v>
      </c>
      <c r="F18" s="4" t="s">
        <v>114</v>
      </c>
      <c r="G18" s="4" t="s">
        <v>115</v>
      </c>
      <c r="H18" s="4" t="s">
        <v>53</v>
      </c>
      <c r="I18" s="4" t="s">
        <v>116</v>
      </c>
      <c r="J18" s="5" t="s">
        <v>9</v>
      </c>
      <c r="K18" s="6" t="s">
        <v>6</v>
      </c>
    </row>
    <row r="19" spans="1:11" ht="30.75">
      <c r="A19" s="3" t="s">
        <v>29</v>
      </c>
      <c r="B19" s="4" t="s">
        <v>117</v>
      </c>
      <c r="C19" s="4" t="s">
        <v>98</v>
      </c>
      <c r="D19" s="8" t="s">
        <v>7</v>
      </c>
      <c r="E19" s="4" t="s">
        <v>118</v>
      </c>
      <c r="F19" s="4" t="s">
        <v>119</v>
      </c>
      <c r="G19" s="4" t="s">
        <v>120</v>
      </c>
      <c r="H19" s="4" t="s">
        <v>53</v>
      </c>
      <c r="I19" s="4" t="s">
        <v>121</v>
      </c>
      <c r="J19" s="8" t="s">
        <v>7</v>
      </c>
      <c r="K19" s="6" t="s">
        <v>6</v>
      </c>
    </row>
    <row r="20" spans="1:11" ht="30.75">
      <c r="A20" s="3" t="s">
        <v>29</v>
      </c>
      <c r="B20" s="4" t="s">
        <v>122</v>
      </c>
      <c r="C20" s="4" t="s">
        <v>123</v>
      </c>
      <c r="D20" s="7" t="s">
        <v>5</v>
      </c>
      <c r="E20" s="4" t="s">
        <v>124</v>
      </c>
      <c r="F20" s="4" t="s">
        <v>125</v>
      </c>
      <c r="G20" s="4" t="s">
        <v>126</v>
      </c>
      <c r="H20" s="4" t="s">
        <v>53</v>
      </c>
      <c r="I20" s="4" t="s">
        <v>127</v>
      </c>
      <c r="J20" s="7" t="s">
        <v>5</v>
      </c>
      <c r="K20" s="6" t="s">
        <v>6</v>
      </c>
    </row>
    <row r="21" spans="1:11" ht="45.75">
      <c r="A21" s="3" t="s">
        <v>29</v>
      </c>
      <c r="B21" s="4" t="s">
        <v>128</v>
      </c>
      <c r="C21" s="4" t="s">
        <v>123</v>
      </c>
      <c r="D21" s="5" t="s">
        <v>9</v>
      </c>
      <c r="E21" s="4" t="s">
        <v>129</v>
      </c>
      <c r="F21" s="4" t="s">
        <v>130</v>
      </c>
      <c r="G21" s="4" t="s">
        <v>131</v>
      </c>
      <c r="H21" s="4" t="s">
        <v>53</v>
      </c>
      <c r="I21" s="4" t="s">
        <v>132</v>
      </c>
      <c r="J21" s="5" t="s">
        <v>9</v>
      </c>
      <c r="K21" s="6" t="s">
        <v>6</v>
      </c>
    </row>
    <row r="22" spans="1:11" ht="121.5">
      <c r="A22" s="3" t="s">
        <v>29</v>
      </c>
      <c r="B22" s="4" t="s">
        <v>133</v>
      </c>
      <c r="C22" s="4" t="s">
        <v>134</v>
      </c>
      <c r="D22" s="9" t="s">
        <v>11</v>
      </c>
      <c r="E22" s="4" t="s">
        <v>135</v>
      </c>
      <c r="F22" s="4" t="s">
        <v>136</v>
      </c>
      <c r="G22" s="4" t="s">
        <v>137</v>
      </c>
      <c r="H22" s="4" t="s">
        <v>138</v>
      </c>
      <c r="I22" s="4" t="s">
        <v>139</v>
      </c>
      <c r="J22" s="9" t="s">
        <v>11</v>
      </c>
      <c r="K22" s="6" t="s">
        <v>6</v>
      </c>
    </row>
    <row r="23" spans="1:11" ht="45.75">
      <c r="A23" s="3" t="s">
        <v>29</v>
      </c>
      <c r="B23" s="4" t="s">
        <v>140</v>
      </c>
      <c r="C23" s="4" t="s">
        <v>134</v>
      </c>
      <c r="D23" s="7" t="s">
        <v>5</v>
      </c>
      <c r="E23" s="4" t="s">
        <v>141</v>
      </c>
      <c r="F23" s="4" t="s">
        <v>142</v>
      </c>
      <c r="G23" s="4" t="s">
        <v>143</v>
      </c>
      <c r="H23" s="4" t="s">
        <v>144</v>
      </c>
      <c r="I23" s="4" t="s">
        <v>145</v>
      </c>
      <c r="J23" s="7" t="s">
        <v>5</v>
      </c>
      <c r="K23" s="6" t="s">
        <v>6</v>
      </c>
    </row>
    <row r="24" spans="1:11" ht="30.75">
      <c r="A24" s="3" t="s">
        <v>29</v>
      </c>
      <c r="B24" s="4" t="s">
        <v>146</v>
      </c>
      <c r="C24" s="4" t="s">
        <v>134</v>
      </c>
      <c r="D24" s="7" t="s">
        <v>5</v>
      </c>
      <c r="E24" s="4" t="s">
        <v>147</v>
      </c>
      <c r="F24" s="4" t="s">
        <v>148</v>
      </c>
      <c r="G24" s="4" t="s">
        <v>149</v>
      </c>
      <c r="H24" s="4" t="s">
        <v>53</v>
      </c>
      <c r="I24" s="4" t="s">
        <v>150</v>
      </c>
      <c r="J24" s="7" t="s">
        <v>5</v>
      </c>
      <c r="K24" s="6"/>
    </row>
    <row r="25" spans="1:11" ht="45.75">
      <c r="A25" s="3" t="s">
        <v>29</v>
      </c>
      <c r="B25" s="4" t="s">
        <v>151</v>
      </c>
      <c r="C25" s="4" t="s">
        <v>134</v>
      </c>
      <c r="D25" s="5" t="s">
        <v>9</v>
      </c>
      <c r="E25" s="4" t="s">
        <v>152</v>
      </c>
      <c r="F25" s="4" t="s">
        <v>148</v>
      </c>
      <c r="G25" s="4" t="s">
        <v>153</v>
      </c>
      <c r="H25" s="4" t="s">
        <v>53</v>
      </c>
      <c r="I25" s="4" t="s">
        <v>154</v>
      </c>
      <c r="J25" s="5" t="s">
        <v>9</v>
      </c>
      <c r="K25" s="6" t="s">
        <v>6</v>
      </c>
    </row>
    <row r="26" spans="1:11" ht="45.75">
      <c r="A26" s="3" t="s">
        <v>29</v>
      </c>
      <c r="B26" s="4" t="s">
        <v>155</v>
      </c>
      <c r="C26" s="4" t="s">
        <v>134</v>
      </c>
      <c r="D26" s="7" t="s">
        <v>5</v>
      </c>
      <c r="E26" s="4" t="s">
        <v>156</v>
      </c>
      <c r="F26" s="4" t="s">
        <v>157</v>
      </c>
      <c r="G26" s="4" t="s">
        <v>158</v>
      </c>
      <c r="H26" s="4" t="s">
        <v>53</v>
      </c>
      <c r="I26" s="4" t="s">
        <v>159</v>
      </c>
      <c r="J26" s="7" t="s">
        <v>5</v>
      </c>
      <c r="K26" s="6" t="s">
        <v>8</v>
      </c>
    </row>
    <row r="27" spans="1:11" ht="30.75">
      <c r="A27" s="3" t="s">
        <v>29</v>
      </c>
      <c r="B27" s="4" t="s">
        <v>160</v>
      </c>
      <c r="C27" s="4" t="s">
        <v>134</v>
      </c>
      <c r="D27" s="7" t="s">
        <v>5</v>
      </c>
      <c r="E27" s="4" t="s">
        <v>161</v>
      </c>
      <c r="F27" s="4" t="s">
        <v>148</v>
      </c>
      <c r="G27" s="4" t="s">
        <v>162</v>
      </c>
      <c r="H27" s="4" t="s">
        <v>163</v>
      </c>
      <c r="I27" s="4" t="s">
        <v>164</v>
      </c>
      <c r="J27" s="7" t="s">
        <v>5</v>
      </c>
      <c r="K27" s="6" t="s">
        <v>6</v>
      </c>
    </row>
    <row r="28" spans="1:11" ht="30.75">
      <c r="A28" s="3" t="s">
        <v>29</v>
      </c>
      <c r="B28" s="4" t="s">
        <v>165</v>
      </c>
      <c r="C28" s="4" t="s">
        <v>134</v>
      </c>
      <c r="D28" s="5" t="s">
        <v>9</v>
      </c>
      <c r="E28" s="4" t="s">
        <v>166</v>
      </c>
      <c r="F28" s="4" t="s">
        <v>148</v>
      </c>
      <c r="G28" s="4" t="s">
        <v>167</v>
      </c>
      <c r="H28" s="4" t="s">
        <v>168</v>
      </c>
      <c r="I28" s="4" t="s">
        <v>169</v>
      </c>
      <c r="J28" s="5" t="s">
        <v>9</v>
      </c>
      <c r="K28" s="6" t="s">
        <v>6</v>
      </c>
    </row>
    <row r="29" spans="1:11" ht="30.75">
      <c r="A29" s="3" t="s">
        <v>29</v>
      </c>
      <c r="B29" s="4" t="s">
        <v>170</v>
      </c>
      <c r="C29" s="4" t="s">
        <v>134</v>
      </c>
      <c r="D29" s="7" t="s">
        <v>5</v>
      </c>
      <c r="E29" s="4" t="s">
        <v>171</v>
      </c>
      <c r="F29" s="4" t="s">
        <v>148</v>
      </c>
      <c r="G29" s="4" t="s">
        <v>172</v>
      </c>
      <c r="H29" s="4" t="s">
        <v>173</v>
      </c>
      <c r="I29" s="4" t="s">
        <v>174</v>
      </c>
      <c r="J29" s="7" t="s">
        <v>5</v>
      </c>
      <c r="K29" s="6" t="s">
        <v>6</v>
      </c>
    </row>
    <row r="30" spans="1:11" ht="30.75">
      <c r="A30" s="3" t="s">
        <v>29</v>
      </c>
      <c r="B30" s="4" t="s">
        <v>175</v>
      </c>
      <c r="C30" s="4" t="s">
        <v>134</v>
      </c>
      <c r="D30" s="7" t="s">
        <v>5</v>
      </c>
      <c r="E30" s="4" t="s">
        <v>176</v>
      </c>
      <c r="F30" s="4" t="s">
        <v>148</v>
      </c>
      <c r="G30" s="4" t="s">
        <v>177</v>
      </c>
      <c r="H30" s="4" t="s">
        <v>178</v>
      </c>
      <c r="I30" s="4" t="s">
        <v>179</v>
      </c>
      <c r="J30" s="7" t="s">
        <v>5</v>
      </c>
      <c r="K30" s="6" t="s">
        <v>6</v>
      </c>
    </row>
    <row r="31" spans="1:11" ht="30.75">
      <c r="A31" s="3" t="s">
        <v>29</v>
      </c>
      <c r="B31" s="4" t="s">
        <v>180</v>
      </c>
      <c r="C31" s="4" t="s">
        <v>134</v>
      </c>
      <c r="D31" s="5" t="s">
        <v>9</v>
      </c>
      <c r="E31" s="4" t="s">
        <v>181</v>
      </c>
      <c r="F31" s="4" t="s">
        <v>148</v>
      </c>
      <c r="G31" s="4" t="s">
        <v>182</v>
      </c>
      <c r="H31" s="4" t="s">
        <v>183</v>
      </c>
      <c r="I31" s="4" t="s">
        <v>184</v>
      </c>
      <c r="J31" s="5" t="s">
        <v>9</v>
      </c>
      <c r="K31" s="6" t="s">
        <v>6</v>
      </c>
    </row>
    <row r="32" spans="1:11" ht="30.75">
      <c r="A32" s="3" t="s">
        <v>29</v>
      </c>
      <c r="B32" s="4" t="s">
        <v>185</v>
      </c>
      <c r="C32" s="4" t="s">
        <v>134</v>
      </c>
      <c r="D32" s="7" t="s">
        <v>5</v>
      </c>
      <c r="E32" s="4" t="s">
        <v>186</v>
      </c>
      <c r="F32" s="4" t="s">
        <v>148</v>
      </c>
      <c r="G32" s="4" t="s">
        <v>187</v>
      </c>
      <c r="H32" s="4" t="s">
        <v>188</v>
      </c>
      <c r="I32" s="4" t="s">
        <v>189</v>
      </c>
      <c r="J32" s="7" t="s">
        <v>5</v>
      </c>
      <c r="K32" s="6" t="s">
        <v>8</v>
      </c>
    </row>
    <row r="33" spans="1:11" ht="30.75">
      <c r="A33" s="3" t="s">
        <v>29</v>
      </c>
      <c r="B33" s="4" t="s">
        <v>190</v>
      </c>
      <c r="C33" s="4" t="s">
        <v>134</v>
      </c>
      <c r="D33" s="5" t="s">
        <v>9</v>
      </c>
      <c r="E33" s="4" t="s">
        <v>191</v>
      </c>
      <c r="F33" s="4" t="s">
        <v>148</v>
      </c>
      <c r="G33" s="4" t="s">
        <v>192</v>
      </c>
      <c r="H33" s="4" t="s">
        <v>193</v>
      </c>
      <c r="I33" s="4" t="s">
        <v>194</v>
      </c>
      <c r="J33" s="5" t="s">
        <v>9</v>
      </c>
      <c r="K33" s="6" t="s">
        <v>8</v>
      </c>
    </row>
    <row r="34" spans="1:11" ht="30.75">
      <c r="A34" s="3" t="s">
        <v>29</v>
      </c>
      <c r="B34" s="4" t="s">
        <v>195</v>
      </c>
      <c r="C34" s="4" t="s">
        <v>134</v>
      </c>
      <c r="D34" s="7" t="s">
        <v>5</v>
      </c>
      <c r="E34" s="4" t="s">
        <v>196</v>
      </c>
      <c r="F34" s="4" t="s">
        <v>148</v>
      </c>
      <c r="G34" s="4" t="s">
        <v>197</v>
      </c>
      <c r="H34" s="4" t="s">
        <v>198</v>
      </c>
      <c r="I34" s="4" t="s">
        <v>199</v>
      </c>
      <c r="J34" s="7" t="s">
        <v>5</v>
      </c>
      <c r="K34" s="6" t="s">
        <v>8</v>
      </c>
    </row>
    <row r="35" spans="1:11" ht="30.75">
      <c r="A35" s="3" t="s">
        <v>29</v>
      </c>
      <c r="B35" s="4" t="s">
        <v>200</v>
      </c>
      <c r="C35" s="4" t="s">
        <v>134</v>
      </c>
      <c r="D35" s="5" t="s">
        <v>9</v>
      </c>
      <c r="E35" s="4" t="s">
        <v>201</v>
      </c>
      <c r="F35" s="4" t="s">
        <v>148</v>
      </c>
      <c r="G35" s="4" t="s">
        <v>202</v>
      </c>
      <c r="H35" s="4" t="s">
        <v>203</v>
      </c>
      <c r="I35" s="4" t="s">
        <v>204</v>
      </c>
      <c r="J35" s="5" t="s">
        <v>9</v>
      </c>
      <c r="K35" s="6" t="s">
        <v>8</v>
      </c>
    </row>
    <row r="36" spans="1:11" ht="30.75">
      <c r="A36" s="3" t="s">
        <v>29</v>
      </c>
      <c r="B36" s="4" t="s">
        <v>205</v>
      </c>
      <c r="C36" s="4" t="s">
        <v>134</v>
      </c>
      <c r="D36" s="5" t="s">
        <v>9</v>
      </c>
      <c r="E36" s="4" t="s">
        <v>206</v>
      </c>
      <c r="F36" s="4" t="s">
        <v>148</v>
      </c>
      <c r="G36" s="4" t="s">
        <v>207</v>
      </c>
      <c r="H36" s="4" t="s">
        <v>208</v>
      </c>
      <c r="I36" s="4" t="s">
        <v>209</v>
      </c>
      <c r="J36" s="5" t="s">
        <v>9</v>
      </c>
      <c r="K36" s="6" t="s">
        <v>6</v>
      </c>
    </row>
    <row r="37" spans="1:11" ht="30.75">
      <c r="A37" s="3" t="s">
        <v>29</v>
      </c>
      <c r="B37" s="4" t="s">
        <v>210</v>
      </c>
      <c r="C37" s="4" t="s">
        <v>134</v>
      </c>
      <c r="D37" s="5" t="s">
        <v>9</v>
      </c>
      <c r="E37" s="4" t="s">
        <v>211</v>
      </c>
      <c r="F37" s="4" t="s">
        <v>148</v>
      </c>
      <c r="G37" s="4" t="s">
        <v>212</v>
      </c>
      <c r="H37" s="4" t="s">
        <v>213</v>
      </c>
      <c r="I37" s="4" t="s">
        <v>214</v>
      </c>
      <c r="J37" s="5" t="s">
        <v>9</v>
      </c>
      <c r="K37" s="6" t="s">
        <v>6</v>
      </c>
    </row>
    <row r="38" spans="1:11" ht="30.75">
      <c r="A38" s="3" t="s">
        <v>29</v>
      </c>
      <c r="B38" s="4" t="s">
        <v>215</v>
      </c>
      <c r="C38" s="4" t="s">
        <v>134</v>
      </c>
      <c r="D38" s="7" t="s">
        <v>5</v>
      </c>
      <c r="E38" s="4" t="s">
        <v>216</v>
      </c>
      <c r="F38" s="4" t="s">
        <v>148</v>
      </c>
      <c r="G38" s="4" t="s">
        <v>217</v>
      </c>
      <c r="H38" s="4" t="s">
        <v>218</v>
      </c>
      <c r="I38" s="4" t="s">
        <v>219</v>
      </c>
      <c r="J38" s="7" t="s">
        <v>5</v>
      </c>
      <c r="K38" s="6" t="s">
        <v>6</v>
      </c>
    </row>
    <row r="39" spans="1:11" ht="30.75">
      <c r="A39" s="3" t="s">
        <v>29</v>
      </c>
      <c r="B39" s="4" t="s">
        <v>220</v>
      </c>
      <c r="C39" s="4" t="s">
        <v>134</v>
      </c>
      <c r="D39" s="5" t="s">
        <v>9</v>
      </c>
      <c r="E39" s="4" t="s">
        <v>221</v>
      </c>
      <c r="F39" s="4" t="s">
        <v>148</v>
      </c>
      <c r="G39" s="4" t="s">
        <v>222</v>
      </c>
      <c r="H39" s="4" t="s">
        <v>223</v>
      </c>
      <c r="I39" s="4" t="s">
        <v>224</v>
      </c>
      <c r="J39" s="5" t="s">
        <v>9</v>
      </c>
      <c r="K39" s="6" t="s">
        <v>6</v>
      </c>
    </row>
    <row r="40" spans="1:11" ht="30.75">
      <c r="A40" s="3" t="s">
        <v>29</v>
      </c>
      <c r="B40" s="4" t="s">
        <v>225</v>
      </c>
      <c r="C40" s="4" t="s">
        <v>134</v>
      </c>
      <c r="D40" s="5" t="s">
        <v>9</v>
      </c>
      <c r="E40" s="4" t="s">
        <v>226</v>
      </c>
      <c r="F40" s="4" t="s">
        <v>148</v>
      </c>
      <c r="G40" s="4" t="s">
        <v>227</v>
      </c>
      <c r="H40" s="4" t="s">
        <v>228</v>
      </c>
      <c r="I40" s="4" t="s">
        <v>229</v>
      </c>
      <c r="J40" s="5" t="s">
        <v>9</v>
      </c>
      <c r="K40" s="6" t="s">
        <v>6</v>
      </c>
    </row>
    <row r="41" spans="1:11" ht="30.75">
      <c r="A41" s="3" t="s">
        <v>29</v>
      </c>
      <c r="B41" s="4" t="s">
        <v>230</v>
      </c>
      <c r="C41" s="4" t="s">
        <v>134</v>
      </c>
      <c r="D41" s="7" t="s">
        <v>5</v>
      </c>
      <c r="E41" s="4" t="s">
        <v>231</v>
      </c>
      <c r="F41" s="4" t="s">
        <v>148</v>
      </c>
      <c r="G41" s="4" t="s">
        <v>232</v>
      </c>
      <c r="H41" s="4" t="s">
        <v>233</v>
      </c>
      <c r="I41" s="4" t="s">
        <v>234</v>
      </c>
      <c r="J41" s="7" t="s">
        <v>5</v>
      </c>
      <c r="K41" s="6" t="s">
        <v>6</v>
      </c>
    </row>
    <row r="42" spans="1:11" ht="30.75">
      <c r="A42" s="3" t="s">
        <v>29</v>
      </c>
      <c r="B42" s="4" t="s">
        <v>235</v>
      </c>
      <c r="C42" s="4" t="s">
        <v>134</v>
      </c>
      <c r="D42" s="7" t="s">
        <v>5</v>
      </c>
      <c r="E42" s="4" t="s">
        <v>236</v>
      </c>
      <c r="F42" s="4" t="s">
        <v>148</v>
      </c>
      <c r="G42" s="4" t="s">
        <v>237</v>
      </c>
      <c r="H42" s="4" t="s">
        <v>238</v>
      </c>
      <c r="I42" s="4" t="s">
        <v>239</v>
      </c>
      <c r="J42" s="7" t="s">
        <v>5</v>
      </c>
      <c r="K42" s="6" t="s">
        <v>6</v>
      </c>
    </row>
    <row r="43" spans="1:11" ht="45.75">
      <c r="A43" s="3" t="s">
        <v>29</v>
      </c>
      <c r="B43" s="4" t="s">
        <v>240</v>
      </c>
      <c r="C43" s="4" t="s">
        <v>134</v>
      </c>
      <c r="D43" s="7" t="s">
        <v>5</v>
      </c>
      <c r="E43" s="4" t="s">
        <v>241</v>
      </c>
      <c r="F43" s="4" t="s">
        <v>148</v>
      </c>
      <c r="G43" s="4" t="s">
        <v>242</v>
      </c>
      <c r="H43" s="4" t="s">
        <v>243</v>
      </c>
      <c r="I43" s="4" t="s">
        <v>244</v>
      </c>
      <c r="J43" s="7" t="s">
        <v>5</v>
      </c>
      <c r="K43" s="6" t="s">
        <v>6</v>
      </c>
    </row>
    <row r="44" spans="1:11" ht="30.75">
      <c r="A44" s="3" t="s">
        <v>29</v>
      </c>
      <c r="B44" s="4" t="s">
        <v>245</v>
      </c>
      <c r="C44" s="4" t="s">
        <v>134</v>
      </c>
      <c r="D44" s="5" t="s">
        <v>9</v>
      </c>
      <c r="E44" s="4" t="s">
        <v>246</v>
      </c>
      <c r="F44" s="4" t="s">
        <v>148</v>
      </c>
      <c r="G44" s="4" t="s">
        <v>247</v>
      </c>
      <c r="H44" s="4" t="s">
        <v>248</v>
      </c>
      <c r="I44" s="4" t="s">
        <v>249</v>
      </c>
      <c r="J44" s="5" t="s">
        <v>9</v>
      </c>
      <c r="K44" s="6" t="s">
        <v>6</v>
      </c>
    </row>
    <row r="45" spans="1:11" ht="30.75">
      <c r="A45" s="3" t="s">
        <v>29</v>
      </c>
      <c r="B45" s="4" t="s">
        <v>250</v>
      </c>
      <c r="C45" s="4" t="s">
        <v>134</v>
      </c>
      <c r="D45" s="5" t="s">
        <v>9</v>
      </c>
      <c r="E45" s="4" t="s">
        <v>251</v>
      </c>
      <c r="F45" s="4" t="s">
        <v>148</v>
      </c>
      <c r="G45" s="4" t="s">
        <v>252</v>
      </c>
      <c r="H45" s="4" t="s">
        <v>253</v>
      </c>
      <c r="I45" s="4" t="s">
        <v>254</v>
      </c>
      <c r="J45" s="5" t="s">
        <v>9</v>
      </c>
      <c r="K45" s="6" t="s">
        <v>6</v>
      </c>
    </row>
    <row r="46" spans="1:11" ht="45.75">
      <c r="A46" s="3" t="s">
        <v>29</v>
      </c>
      <c r="B46" s="4" t="s">
        <v>255</v>
      </c>
      <c r="C46" s="4" t="s">
        <v>134</v>
      </c>
      <c r="D46" s="5" t="s">
        <v>9</v>
      </c>
      <c r="E46" s="4" t="s">
        <v>256</v>
      </c>
      <c r="F46" s="4" t="s">
        <v>257</v>
      </c>
      <c r="G46" s="4" t="s">
        <v>258</v>
      </c>
      <c r="H46" s="4" t="s">
        <v>259</v>
      </c>
      <c r="I46" s="4" t="s">
        <v>260</v>
      </c>
      <c r="J46" s="5" t="s">
        <v>9</v>
      </c>
      <c r="K46" s="6" t="s">
        <v>6</v>
      </c>
    </row>
    <row r="47" spans="1:11" ht="30.75">
      <c r="A47" s="3" t="s">
        <v>29</v>
      </c>
      <c r="B47" s="4" t="s">
        <v>261</v>
      </c>
      <c r="C47" s="4" t="s">
        <v>134</v>
      </c>
      <c r="D47" s="5" t="s">
        <v>9</v>
      </c>
      <c r="E47" s="4" t="s">
        <v>262</v>
      </c>
      <c r="F47" s="4" t="s">
        <v>263</v>
      </c>
      <c r="G47" s="4" t="s">
        <v>264</v>
      </c>
      <c r="H47" s="4" t="s">
        <v>53</v>
      </c>
      <c r="I47" s="4" t="s">
        <v>265</v>
      </c>
      <c r="J47" s="5" t="s">
        <v>9</v>
      </c>
      <c r="K47" s="6" t="s">
        <v>6</v>
      </c>
    </row>
    <row r="48" spans="1:11" ht="30.75">
      <c r="A48" s="3" t="s">
        <v>29</v>
      </c>
      <c r="B48" s="4" t="s">
        <v>266</v>
      </c>
      <c r="C48" s="4" t="s">
        <v>134</v>
      </c>
      <c r="D48" s="5" t="s">
        <v>9</v>
      </c>
      <c r="E48" s="4" t="s">
        <v>267</v>
      </c>
      <c r="F48" s="4" t="s">
        <v>268</v>
      </c>
      <c r="G48" s="4" t="s">
        <v>269</v>
      </c>
      <c r="H48" s="4" t="s">
        <v>270</v>
      </c>
      <c r="I48" s="4" t="s">
        <v>271</v>
      </c>
      <c r="J48" s="5" t="s">
        <v>9</v>
      </c>
      <c r="K48" s="6" t="s">
        <v>6</v>
      </c>
    </row>
    <row r="49" spans="1:11" ht="45.75">
      <c r="A49" s="3" t="s">
        <v>29</v>
      </c>
      <c r="B49" s="4" t="s">
        <v>272</v>
      </c>
      <c r="C49" s="4" t="s">
        <v>273</v>
      </c>
      <c r="D49" s="7" t="s">
        <v>5</v>
      </c>
      <c r="E49" s="4" t="s">
        <v>274</v>
      </c>
      <c r="F49" s="4" t="s">
        <v>275</v>
      </c>
      <c r="G49" s="4" t="s">
        <v>276</v>
      </c>
      <c r="H49" s="4" t="s">
        <v>47</v>
      </c>
      <c r="I49" s="4" t="s">
        <v>277</v>
      </c>
      <c r="J49" s="7" t="s">
        <v>5</v>
      </c>
      <c r="K49" s="6" t="s">
        <v>6</v>
      </c>
    </row>
    <row r="50" spans="1:11" ht="30.75">
      <c r="A50" s="3" t="s">
        <v>29</v>
      </c>
      <c r="B50" s="4" t="s">
        <v>278</v>
      </c>
      <c r="C50" s="4" t="s">
        <v>273</v>
      </c>
      <c r="D50" s="5" t="s">
        <v>9</v>
      </c>
      <c r="E50" s="4" t="s">
        <v>279</v>
      </c>
      <c r="F50" s="4" t="s">
        <v>275</v>
      </c>
      <c r="G50" s="4" t="s">
        <v>280</v>
      </c>
      <c r="H50" s="4" t="s">
        <v>53</v>
      </c>
      <c r="I50" s="4" t="s">
        <v>281</v>
      </c>
      <c r="J50" s="5" t="s">
        <v>9</v>
      </c>
      <c r="K50" s="6" t="s">
        <v>6</v>
      </c>
    </row>
    <row r="51" spans="1:11" ht="30.75">
      <c r="A51" s="3" t="s">
        <v>29</v>
      </c>
      <c r="B51" s="4" t="s">
        <v>282</v>
      </c>
      <c r="C51" s="4" t="s">
        <v>273</v>
      </c>
      <c r="D51" s="5" t="s">
        <v>9</v>
      </c>
      <c r="E51" s="4" t="s">
        <v>283</v>
      </c>
      <c r="F51" s="4" t="s">
        <v>275</v>
      </c>
      <c r="G51" s="4" t="s">
        <v>284</v>
      </c>
      <c r="H51" s="4" t="s">
        <v>53</v>
      </c>
      <c r="I51" s="4" t="s">
        <v>285</v>
      </c>
      <c r="J51" s="5" t="s">
        <v>9</v>
      </c>
      <c r="K51" s="6" t="s">
        <v>6</v>
      </c>
    </row>
    <row r="52" spans="1:11" ht="30.75">
      <c r="A52" s="3" t="s">
        <v>29</v>
      </c>
      <c r="B52" s="4" t="s">
        <v>286</v>
      </c>
      <c r="C52" s="4" t="s">
        <v>273</v>
      </c>
      <c r="D52" s="7" t="s">
        <v>5</v>
      </c>
      <c r="E52" s="4" t="s">
        <v>287</v>
      </c>
      <c r="F52" s="4" t="s">
        <v>288</v>
      </c>
      <c r="G52" s="4" t="s">
        <v>289</v>
      </c>
      <c r="H52" s="4" t="s">
        <v>290</v>
      </c>
      <c r="I52" s="4" t="s">
        <v>291</v>
      </c>
      <c r="J52" s="7" t="s">
        <v>5</v>
      </c>
      <c r="K52" s="6" t="s">
        <v>6</v>
      </c>
    </row>
    <row r="53" spans="1:11" ht="45.75">
      <c r="A53" s="3" t="s">
        <v>29</v>
      </c>
      <c r="B53" s="4" t="s">
        <v>292</v>
      </c>
      <c r="C53" s="4" t="s">
        <v>273</v>
      </c>
      <c r="D53" s="7" t="s">
        <v>5</v>
      </c>
      <c r="E53" s="4" t="s">
        <v>293</v>
      </c>
      <c r="F53" s="4" t="s">
        <v>294</v>
      </c>
      <c r="G53" s="4" t="s">
        <v>295</v>
      </c>
      <c r="H53" s="4" t="s">
        <v>296</v>
      </c>
      <c r="I53" s="4" t="s">
        <v>297</v>
      </c>
      <c r="J53" s="7" t="s">
        <v>5</v>
      </c>
      <c r="K53" s="6" t="s">
        <v>6</v>
      </c>
    </row>
    <row r="54" spans="1:11" ht="30.75">
      <c r="A54" s="3" t="s">
        <v>29</v>
      </c>
      <c r="B54" s="4" t="s">
        <v>298</v>
      </c>
      <c r="C54" s="4" t="s">
        <v>273</v>
      </c>
      <c r="D54" s="7" t="s">
        <v>5</v>
      </c>
      <c r="E54" s="4" t="s">
        <v>299</v>
      </c>
      <c r="F54" s="4" t="s">
        <v>294</v>
      </c>
      <c r="G54" s="4" t="s">
        <v>300</v>
      </c>
      <c r="H54" s="4">
        <v>12345678</v>
      </c>
      <c r="I54" s="4" t="s">
        <v>239</v>
      </c>
      <c r="J54" s="7" t="s">
        <v>5</v>
      </c>
      <c r="K54" s="6" t="s">
        <v>6</v>
      </c>
    </row>
    <row r="55" spans="1:11" ht="30.75">
      <c r="A55" s="3" t="s">
        <v>29</v>
      </c>
      <c r="B55" s="4" t="s">
        <v>301</v>
      </c>
      <c r="C55" s="4" t="s">
        <v>273</v>
      </c>
      <c r="D55" s="5" t="s">
        <v>9</v>
      </c>
      <c r="E55" s="4" t="s">
        <v>302</v>
      </c>
      <c r="F55" s="4" t="s">
        <v>294</v>
      </c>
      <c r="G55" s="4" t="s">
        <v>303</v>
      </c>
      <c r="H55" s="4" t="s">
        <v>304</v>
      </c>
      <c r="I55" s="4" t="s">
        <v>239</v>
      </c>
      <c r="J55" s="5" t="s">
        <v>9</v>
      </c>
      <c r="K55" s="6" t="s">
        <v>6</v>
      </c>
    </row>
    <row r="56" spans="1:11" ht="30.75">
      <c r="A56" s="3" t="s">
        <v>29</v>
      </c>
      <c r="B56" s="4" t="s">
        <v>305</v>
      </c>
      <c r="C56" s="4" t="s">
        <v>273</v>
      </c>
      <c r="D56" s="7" t="s">
        <v>5</v>
      </c>
      <c r="E56" s="4" t="s">
        <v>306</v>
      </c>
      <c r="F56" s="4" t="s">
        <v>307</v>
      </c>
      <c r="G56" s="4" t="s">
        <v>308</v>
      </c>
      <c r="H56" s="4" t="s">
        <v>47</v>
      </c>
      <c r="I56" s="4" t="s">
        <v>309</v>
      </c>
      <c r="J56" s="7" t="s">
        <v>5</v>
      </c>
      <c r="K56" s="6" t="s">
        <v>6</v>
      </c>
    </row>
    <row r="57" spans="1:11" ht="30.75">
      <c r="A57" s="3" t="s">
        <v>29</v>
      </c>
      <c r="B57" s="4" t="s">
        <v>310</v>
      </c>
      <c r="C57" s="4" t="s">
        <v>273</v>
      </c>
      <c r="D57" s="7" t="s">
        <v>5</v>
      </c>
      <c r="E57" s="4" t="s">
        <v>311</v>
      </c>
      <c r="F57" s="4" t="s">
        <v>312</v>
      </c>
      <c r="G57" s="4" t="s">
        <v>313</v>
      </c>
      <c r="H57" s="4" t="s">
        <v>314</v>
      </c>
      <c r="I57" s="4" t="s">
        <v>315</v>
      </c>
      <c r="J57" s="7" t="s">
        <v>5</v>
      </c>
      <c r="K57" s="6" t="s">
        <v>6</v>
      </c>
    </row>
    <row r="58" spans="1:11" ht="30.75">
      <c r="A58" s="3" t="s">
        <v>29</v>
      </c>
      <c r="B58" s="4" t="s">
        <v>316</v>
      </c>
      <c r="C58" s="4" t="s">
        <v>273</v>
      </c>
      <c r="D58" s="7" t="s">
        <v>5</v>
      </c>
      <c r="E58" s="4" t="s">
        <v>317</v>
      </c>
      <c r="F58" s="4" t="s">
        <v>318</v>
      </c>
      <c r="G58" s="4" t="s">
        <v>319</v>
      </c>
      <c r="H58" s="4" t="s">
        <v>320</v>
      </c>
      <c r="I58" s="4" t="s">
        <v>321</v>
      </c>
      <c r="J58" s="7" t="s">
        <v>5</v>
      </c>
      <c r="K58" s="6" t="s">
        <v>6</v>
      </c>
    </row>
    <row r="59" spans="1:11" ht="30.75">
      <c r="A59" s="3" t="s">
        <v>29</v>
      </c>
      <c r="B59" s="4" t="s">
        <v>322</v>
      </c>
      <c r="C59" s="4" t="s">
        <v>273</v>
      </c>
      <c r="D59" s="5" t="s">
        <v>9</v>
      </c>
      <c r="E59" s="4" t="s">
        <v>323</v>
      </c>
      <c r="F59" s="4" t="s">
        <v>324</v>
      </c>
      <c r="G59" s="4" t="s">
        <v>325</v>
      </c>
      <c r="H59" s="4" t="s">
        <v>326</v>
      </c>
      <c r="I59" s="4" t="s">
        <v>327</v>
      </c>
      <c r="J59" s="5" t="s">
        <v>9</v>
      </c>
      <c r="K59" s="6" t="s">
        <v>6</v>
      </c>
    </row>
    <row r="60" spans="1:11" ht="30.75">
      <c r="A60" s="3" t="s">
        <v>29</v>
      </c>
      <c r="B60" s="4" t="s">
        <v>328</v>
      </c>
      <c r="C60" s="4" t="s">
        <v>273</v>
      </c>
      <c r="D60" s="7" t="s">
        <v>5</v>
      </c>
      <c r="E60" s="4" t="s">
        <v>329</v>
      </c>
      <c r="F60" s="4" t="s">
        <v>312</v>
      </c>
      <c r="G60" s="4" t="s">
        <v>330</v>
      </c>
      <c r="H60" s="4" t="s">
        <v>331</v>
      </c>
      <c r="I60" s="4" t="s">
        <v>309</v>
      </c>
      <c r="J60" s="7" t="s">
        <v>5</v>
      </c>
      <c r="K60" s="6" t="s">
        <v>6</v>
      </c>
    </row>
    <row r="61" spans="1:11" ht="30.75">
      <c r="A61" s="3" t="s">
        <v>29</v>
      </c>
      <c r="B61" s="4" t="s">
        <v>332</v>
      </c>
      <c r="C61" s="4" t="s">
        <v>273</v>
      </c>
      <c r="D61" s="7" t="s">
        <v>5</v>
      </c>
      <c r="E61" s="4" t="s">
        <v>333</v>
      </c>
      <c r="F61" s="4" t="s">
        <v>334</v>
      </c>
      <c r="G61" s="4" t="s">
        <v>335</v>
      </c>
      <c r="H61" s="4" t="s">
        <v>290</v>
      </c>
      <c r="I61" s="4" t="s">
        <v>291</v>
      </c>
      <c r="J61" s="7" t="s">
        <v>5</v>
      </c>
      <c r="K61" s="6" t="s">
        <v>6</v>
      </c>
    </row>
    <row r="62" spans="1:11" ht="30.75">
      <c r="A62" s="3" t="s">
        <v>29</v>
      </c>
      <c r="B62" s="4" t="s">
        <v>336</v>
      </c>
      <c r="C62" s="4" t="s">
        <v>273</v>
      </c>
      <c r="D62" s="7" t="s">
        <v>5</v>
      </c>
      <c r="E62" s="4" t="s">
        <v>337</v>
      </c>
      <c r="F62" s="4" t="s">
        <v>338</v>
      </c>
      <c r="G62" s="4" t="s">
        <v>339</v>
      </c>
      <c r="H62" s="4" t="s">
        <v>340</v>
      </c>
      <c r="I62" s="4" t="s">
        <v>341</v>
      </c>
      <c r="J62" s="7" t="s">
        <v>5</v>
      </c>
      <c r="K62" s="6" t="s">
        <v>6</v>
      </c>
    </row>
    <row r="63" spans="1:11" ht="45.75">
      <c r="A63" s="3" t="s">
        <v>29</v>
      </c>
      <c r="B63" s="4" t="s">
        <v>342</v>
      </c>
      <c r="C63" s="4" t="s">
        <v>273</v>
      </c>
      <c r="D63" s="7" t="s">
        <v>5</v>
      </c>
      <c r="E63" s="4" t="s">
        <v>343</v>
      </c>
      <c r="F63" s="4" t="s">
        <v>344</v>
      </c>
      <c r="G63" s="4" t="s">
        <v>345</v>
      </c>
      <c r="H63" s="4" t="s">
        <v>346</v>
      </c>
      <c r="I63" s="4" t="s">
        <v>347</v>
      </c>
      <c r="J63" s="7" t="s">
        <v>5</v>
      </c>
      <c r="K63" s="6" t="s">
        <v>6</v>
      </c>
    </row>
    <row r="64" spans="1:11" ht="91.5">
      <c r="A64" s="3" t="s">
        <v>29</v>
      </c>
      <c r="B64" s="4" t="s">
        <v>348</v>
      </c>
      <c r="C64" s="4" t="s">
        <v>349</v>
      </c>
      <c r="D64" s="9" t="s">
        <v>11</v>
      </c>
      <c r="E64" s="4" t="s">
        <v>350</v>
      </c>
      <c r="F64" s="4" t="s">
        <v>351</v>
      </c>
      <c r="G64" s="4" t="s">
        <v>352</v>
      </c>
      <c r="H64" s="4" t="s">
        <v>353</v>
      </c>
      <c r="I64" s="4" t="s">
        <v>354</v>
      </c>
      <c r="J64" s="9" t="s">
        <v>11</v>
      </c>
      <c r="K64" s="6" t="s">
        <v>6</v>
      </c>
    </row>
    <row r="65" spans="1:11" ht="30.75">
      <c r="A65" s="3" t="s">
        <v>29</v>
      </c>
      <c r="B65" s="4" t="s">
        <v>355</v>
      </c>
      <c r="C65" s="4" t="s">
        <v>349</v>
      </c>
      <c r="D65" s="7" t="s">
        <v>5</v>
      </c>
      <c r="E65" s="4" t="s">
        <v>356</v>
      </c>
      <c r="F65" s="4" t="s">
        <v>357</v>
      </c>
      <c r="G65" s="4" t="s">
        <v>358</v>
      </c>
      <c r="H65" s="4" t="s">
        <v>144</v>
      </c>
      <c r="I65" s="4" t="s">
        <v>359</v>
      </c>
      <c r="J65" s="7" t="s">
        <v>5</v>
      </c>
      <c r="K65" s="6" t="s">
        <v>6</v>
      </c>
    </row>
    <row r="66" spans="1:11" ht="30.75">
      <c r="A66" s="3" t="s">
        <v>29</v>
      </c>
      <c r="B66" s="4" t="s">
        <v>360</v>
      </c>
      <c r="C66" s="4" t="s">
        <v>349</v>
      </c>
      <c r="D66" s="7" t="s">
        <v>5</v>
      </c>
      <c r="E66" s="4" t="s">
        <v>361</v>
      </c>
      <c r="F66" s="4" t="s">
        <v>362</v>
      </c>
      <c r="G66" s="4" t="s">
        <v>363</v>
      </c>
      <c r="H66" s="4" t="s">
        <v>53</v>
      </c>
      <c r="I66" s="4" t="s">
        <v>364</v>
      </c>
      <c r="J66" s="7" t="s">
        <v>5</v>
      </c>
      <c r="K66" s="6" t="s">
        <v>8</v>
      </c>
    </row>
    <row r="67" spans="1:11" ht="45.75">
      <c r="A67" s="3" t="s">
        <v>29</v>
      </c>
      <c r="B67" s="4" t="s">
        <v>365</v>
      </c>
      <c r="C67" s="4" t="s">
        <v>349</v>
      </c>
      <c r="D67" s="5" t="s">
        <v>9</v>
      </c>
      <c r="E67" s="4" t="s">
        <v>366</v>
      </c>
      <c r="F67" s="4" t="s">
        <v>362</v>
      </c>
      <c r="G67" s="4" t="s">
        <v>367</v>
      </c>
      <c r="H67" s="4" t="s">
        <v>53</v>
      </c>
      <c r="I67" s="4" t="s">
        <v>368</v>
      </c>
      <c r="J67" s="5" t="s">
        <v>9</v>
      </c>
      <c r="K67" s="6" t="s">
        <v>6</v>
      </c>
    </row>
    <row r="68" spans="1:11" ht="30.75">
      <c r="A68" s="3" t="s">
        <v>29</v>
      </c>
      <c r="B68" s="4" t="s">
        <v>369</v>
      </c>
      <c r="C68" s="4" t="s">
        <v>349</v>
      </c>
      <c r="D68" s="5" t="s">
        <v>9</v>
      </c>
      <c r="E68" s="4" t="s">
        <v>370</v>
      </c>
      <c r="F68" s="4" t="s">
        <v>362</v>
      </c>
      <c r="G68" s="4" t="s">
        <v>371</v>
      </c>
      <c r="H68" s="4" t="s">
        <v>53</v>
      </c>
      <c r="I68" s="4" t="s">
        <v>372</v>
      </c>
      <c r="J68" s="5" t="s">
        <v>9</v>
      </c>
      <c r="K68" s="6" t="s">
        <v>6</v>
      </c>
    </row>
    <row r="69" spans="1:11" ht="45.75">
      <c r="A69" s="3" t="s">
        <v>29</v>
      </c>
      <c r="B69" s="4" t="s">
        <v>373</v>
      </c>
      <c r="C69" s="4" t="s">
        <v>349</v>
      </c>
      <c r="D69" s="5" t="s">
        <v>9</v>
      </c>
      <c r="E69" s="4" t="s">
        <v>374</v>
      </c>
      <c r="F69" s="4" t="s">
        <v>375</v>
      </c>
      <c r="G69" s="4" t="s">
        <v>376</v>
      </c>
      <c r="H69" s="4" t="s">
        <v>377</v>
      </c>
      <c r="I69" s="4" t="s">
        <v>378</v>
      </c>
      <c r="J69" s="5" t="s">
        <v>9</v>
      </c>
      <c r="K69" s="6" t="s">
        <v>6</v>
      </c>
    </row>
    <row r="70" spans="1:11" ht="45.75">
      <c r="A70" s="3" t="s">
        <v>29</v>
      </c>
      <c r="B70" s="4" t="s">
        <v>379</v>
      </c>
      <c r="C70" s="4" t="s">
        <v>349</v>
      </c>
      <c r="D70" s="5" t="s">
        <v>9</v>
      </c>
      <c r="E70" s="4" t="s">
        <v>380</v>
      </c>
      <c r="F70" s="4" t="s">
        <v>381</v>
      </c>
      <c r="G70" s="4" t="s">
        <v>382</v>
      </c>
      <c r="H70" s="4" t="s">
        <v>383</v>
      </c>
      <c r="I70" s="4" t="s">
        <v>384</v>
      </c>
      <c r="J70" s="5" t="s">
        <v>9</v>
      </c>
      <c r="K70" s="6" t="s">
        <v>6</v>
      </c>
    </row>
    <row r="71" spans="1:11" ht="30.75">
      <c r="A71" s="3" t="s">
        <v>29</v>
      </c>
      <c r="B71" s="4" t="s">
        <v>385</v>
      </c>
      <c r="C71" s="4" t="s">
        <v>349</v>
      </c>
      <c r="D71" s="7" t="s">
        <v>5</v>
      </c>
      <c r="E71" s="4" t="s">
        <v>386</v>
      </c>
      <c r="F71" s="4" t="s">
        <v>387</v>
      </c>
      <c r="G71" s="4" t="s">
        <v>388</v>
      </c>
      <c r="H71" s="4" t="s">
        <v>389</v>
      </c>
      <c r="I71" s="4" t="s">
        <v>390</v>
      </c>
      <c r="J71" s="7" t="s">
        <v>5</v>
      </c>
      <c r="K71" s="6" t="s">
        <v>6</v>
      </c>
    </row>
    <row r="72" spans="1:11" ht="30.75">
      <c r="A72" s="3" t="s">
        <v>29</v>
      </c>
      <c r="B72" s="4" t="s">
        <v>391</v>
      </c>
      <c r="C72" s="4" t="s">
        <v>349</v>
      </c>
      <c r="D72" s="5" t="s">
        <v>9</v>
      </c>
      <c r="E72" s="4" t="s">
        <v>392</v>
      </c>
      <c r="F72" s="4" t="s">
        <v>393</v>
      </c>
      <c r="G72" s="4" t="s">
        <v>388</v>
      </c>
      <c r="H72" s="4" t="s">
        <v>394</v>
      </c>
      <c r="I72" s="4" t="s">
        <v>395</v>
      </c>
      <c r="J72" s="5" t="s">
        <v>9</v>
      </c>
      <c r="K72" s="6" t="s">
        <v>6</v>
      </c>
    </row>
    <row r="73" spans="1:11" ht="47.25">
      <c r="A73" s="3" t="s">
        <v>29</v>
      </c>
      <c r="B73" s="4" t="s">
        <v>396</v>
      </c>
      <c r="C73" s="4" t="s">
        <v>349</v>
      </c>
      <c r="D73" s="7" t="s">
        <v>5</v>
      </c>
      <c r="E73" s="4" t="s">
        <v>397</v>
      </c>
      <c r="F73" s="4" t="s">
        <v>398</v>
      </c>
      <c r="G73" s="4" t="s">
        <v>399</v>
      </c>
      <c r="H73" s="4" t="s">
        <v>400</v>
      </c>
      <c r="I73" s="4" t="s">
        <v>401</v>
      </c>
      <c r="J73" s="7" t="s">
        <v>5</v>
      </c>
      <c r="K73" s="6" t="s">
        <v>6</v>
      </c>
    </row>
    <row r="74" spans="1:11" ht="30.75">
      <c r="A74" s="3" t="s">
        <v>29</v>
      </c>
      <c r="B74" s="4" t="s">
        <v>402</v>
      </c>
      <c r="C74" s="4" t="s">
        <v>349</v>
      </c>
      <c r="D74" s="5" t="s">
        <v>9</v>
      </c>
      <c r="E74" s="4" t="s">
        <v>171</v>
      </c>
      <c r="F74" s="4" t="s">
        <v>362</v>
      </c>
      <c r="G74" s="4" t="s">
        <v>403</v>
      </c>
      <c r="H74" s="4" t="s">
        <v>404</v>
      </c>
      <c r="I74" s="4" t="s">
        <v>174</v>
      </c>
      <c r="J74" s="5" t="s">
        <v>9</v>
      </c>
      <c r="K74" s="6" t="s">
        <v>6</v>
      </c>
    </row>
    <row r="75" spans="1:11" ht="30.75">
      <c r="A75" s="3" t="s">
        <v>29</v>
      </c>
      <c r="B75" s="4" t="s">
        <v>405</v>
      </c>
      <c r="C75" s="4" t="s">
        <v>349</v>
      </c>
      <c r="D75" s="5" t="s">
        <v>9</v>
      </c>
      <c r="E75" s="4" t="s">
        <v>406</v>
      </c>
      <c r="F75" s="4" t="s">
        <v>362</v>
      </c>
      <c r="G75" s="4" t="s">
        <v>232</v>
      </c>
      <c r="H75" s="4" t="s">
        <v>233</v>
      </c>
      <c r="I75" s="4" t="s">
        <v>407</v>
      </c>
      <c r="J75" s="5" t="s">
        <v>9</v>
      </c>
      <c r="K75" s="6" t="s">
        <v>6</v>
      </c>
    </row>
    <row r="76" spans="1:11" ht="30.75">
      <c r="A76" s="3" t="s">
        <v>29</v>
      </c>
      <c r="B76" s="4" t="s">
        <v>408</v>
      </c>
      <c r="C76" s="4" t="s">
        <v>349</v>
      </c>
      <c r="D76" s="5" t="s">
        <v>9</v>
      </c>
      <c r="E76" s="4" t="s">
        <v>409</v>
      </c>
      <c r="F76" s="4" t="s">
        <v>362</v>
      </c>
      <c r="G76" s="4" t="s">
        <v>242</v>
      </c>
      <c r="H76" s="4" t="s">
        <v>243</v>
      </c>
      <c r="I76" s="4" t="s">
        <v>410</v>
      </c>
      <c r="J76" s="5" t="s">
        <v>9</v>
      </c>
      <c r="K76" s="6" t="s">
        <v>6</v>
      </c>
    </row>
    <row r="77" spans="1:11" ht="30.75">
      <c r="A77" s="3" t="s">
        <v>29</v>
      </c>
      <c r="B77" s="4" t="s">
        <v>411</v>
      </c>
      <c r="C77" s="4" t="s">
        <v>349</v>
      </c>
      <c r="D77" s="5" t="s">
        <v>9</v>
      </c>
      <c r="E77" s="4" t="s">
        <v>412</v>
      </c>
      <c r="F77" s="4" t="s">
        <v>362</v>
      </c>
      <c r="G77" s="4" t="s">
        <v>413</v>
      </c>
      <c r="H77" s="4" t="s">
        <v>290</v>
      </c>
      <c r="I77" s="4" t="s">
        <v>414</v>
      </c>
      <c r="J77" s="5" t="s">
        <v>9</v>
      </c>
      <c r="K77" s="6" t="s">
        <v>6</v>
      </c>
    </row>
    <row r="78" spans="1:11" ht="30.75">
      <c r="A78" s="3" t="s">
        <v>29</v>
      </c>
      <c r="B78" s="4" t="s">
        <v>415</v>
      </c>
      <c r="C78" s="4" t="s">
        <v>349</v>
      </c>
      <c r="D78" s="5" t="s">
        <v>9</v>
      </c>
      <c r="E78" s="4" t="s">
        <v>416</v>
      </c>
      <c r="F78" s="4" t="s">
        <v>362</v>
      </c>
      <c r="G78" s="4" t="s">
        <v>417</v>
      </c>
      <c r="H78" s="4" t="s">
        <v>290</v>
      </c>
      <c r="I78" s="4" t="s">
        <v>418</v>
      </c>
      <c r="J78" s="5" t="s">
        <v>9</v>
      </c>
      <c r="K78" s="6" t="s">
        <v>6</v>
      </c>
    </row>
    <row r="79" spans="1:11" ht="30.75">
      <c r="A79" s="3" t="s">
        <v>29</v>
      </c>
      <c r="B79" s="4" t="s">
        <v>419</v>
      </c>
      <c r="C79" s="4" t="s">
        <v>349</v>
      </c>
      <c r="D79" s="5" t="s">
        <v>9</v>
      </c>
      <c r="E79" s="4" t="s">
        <v>221</v>
      </c>
      <c r="F79" s="4" t="s">
        <v>362</v>
      </c>
      <c r="G79" s="4" t="s">
        <v>222</v>
      </c>
      <c r="H79" s="4" t="s">
        <v>223</v>
      </c>
      <c r="I79" s="4" t="s">
        <v>224</v>
      </c>
      <c r="J79" s="5" t="s">
        <v>9</v>
      </c>
      <c r="K79" s="6" t="s">
        <v>6</v>
      </c>
    </row>
    <row r="80" spans="1:11" ht="30.75">
      <c r="A80" s="3" t="s">
        <v>29</v>
      </c>
      <c r="B80" s="4" t="s">
        <v>420</v>
      </c>
      <c r="C80" s="4" t="s">
        <v>349</v>
      </c>
      <c r="D80" s="5" t="s">
        <v>9</v>
      </c>
      <c r="E80" s="4" t="s">
        <v>256</v>
      </c>
      <c r="F80" s="4" t="s">
        <v>421</v>
      </c>
      <c r="G80" s="4" t="s">
        <v>422</v>
      </c>
      <c r="H80" s="4" t="s">
        <v>423</v>
      </c>
      <c r="I80" s="4" t="s">
        <v>424</v>
      </c>
      <c r="J80" s="5" t="s">
        <v>9</v>
      </c>
      <c r="K80" s="6" t="s">
        <v>6</v>
      </c>
    </row>
    <row r="81" spans="1:11" ht="30.75">
      <c r="A81" s="3" t="s">
        <v>29</v>
      </c>
      <c r="B81" s="4" t="s">
        <v>425</v>
      </c>
      <c r="C81" s="4" t="s">
        <v>349</v>
      </c>
      <c r="D81" s="7" t="s">
        <v>5</v>
      </c>
      <c r="E81" s="4" t="s">
        <v>426</v>
      </c>
      <c r="F81" s="4" t="s">
        <v>427</v>
      </c>
      <c r="G81" s="4" t="s">
        <v>428</v>
      </c>
      <c r="H81" s="4" t="s">
        <v>429</v>
      </c>
      <c r="I81" s="4" t="s">
        <v>430</v>
      </c>
      <c r="J81" s="7" t="s">
        <v>5</v>
      </c>
      <c r="K81" s="6" t="s">
        <v>6</v>
      </c>
    </row>
    <row r="82" spans="1:11" ht="76.5">
      <c r="A82" s="3" t="s">
        <v>29</v>
      </c>
      <c r="B82" s="4" t="s">
        <v>431</v>
      </c>
      <c r="C82" s="4" t="s">
        <v>432</v>
      </c>
      <c r="D82" s="9" t="s">
        <v>11</v>
      </c>
      <c r="E82" s="4" t="s">
        <v>433</v>
      </c>
      <c r="F82" s="4" t="s">
        <v>434</v>
      </c>
      <c r="G82" s="4" t="s">
        <v>435</v>
      </c>
      <c r="H82" s="4" t="s">
        <v>436</v>
      </c>
      <c r="I82" s="4" t="s">
        <v>354</v>
      </c>
      <c r="J82" s="9" t="s">
        <v>11</v>
      </c>
      <c r="K82" s="6" t="s">
        <v>6</v>
      </c>
    </row>
    <row r="83" spans="1:11" ht="30.75">
      <c r="A83" s="3" t="s">
        <v>29</v>
      </c>
      <c r="B83" s="4" t="s">
        <v>437</v>
      </c>
      <c r="C83" s="4" t="s">
        <v>432</v>
      </c>
      <c r="D83" s="7" t="s">
        <v>5</v>
      </c>
      <c r="E83" s="4" t="s">
        <v>356</v>
      </c>
      <c r="F83" s="4" t="s">
        <v>438</v>
      </c>
      <c r="G83" s="4" t="s">
        <v>358</v>
      </c>
      <c r="H83" s="4" t="s">
        <v>144</v>
      </c>
      <c r="I83" s="4" t="s">
        <v>359</v>
      </c>
      <c r="J83" s="7" t="s">
        <v>5</v>
      </c>
      <c r="K83" s="6" t="s">
        <v>6</v>
      </c>
    </row>
    <row r="84" spans="1:11" ht="30.75">
      <c r="A84" s="3" t="s">
        <v>29</v>
      </c>
      <c r="B84" s="4" t="s">
        <v>439</v>
      </c>
      <c r="C84" s="4" t="s">
        <v>432</v>
      </c>
      <c r="D84" s="7" t="s">
        <v>5</v>
      </c>
      <c r="E84" s="4" t="s">
        <v>440</v>
      </c>
      <c r="F84" s="4" t="s">
        <v>441</v>
      </c>
      <c r="G84" s="4" t="s">
        <v>442</v>
      </c>
      <c r="H84" s="4" t="s">
        <v>53</v>
      </c>
      <c r="I84" s="4" t="s">
        <v>443</v>
      </c>
      <c r="J84" s="7" t="s">
        <v>5</v>
      </c>
      <c r="K84" s="6" t="s">
        <v>8</v>
      </c>
    </row>
    <row r="85" spans="1:11" ht="30.75">
      <c r="A85" s="3" t="s">
        <v>29</v>
      </c>
      <c r="B85" s="4" t="s">
        <v>444</v>
      </c>
      <c r="C85" s="4" t="s">
        <v>432</v>
      </c>
      <c r="D85" s="5" t="s">
        <v>9</v>
      </c>
      <c r="E85" s="4" t="s">
        <v>445</v>
      </c>
      <c r="F85" s="4" t="s">
        <v>441</v>
      </c>
      <c r="G85" s="4" t="s">
        <v>446</v>
      </c>
      <c r="H85" s="4" t="s">
        <v>53</v>
      </c>
      <c r="I85" s="4" t="s">
        <v>447</v>
      </c>
      <c r="J85" s="5" t="s">
        <v>9</v>
      </c>
      <c r="K85" s="6" t="s">
        <v>6</v>
      </c>
    </row>
    <row r="86" spans="1:11" ht="30.75">
      <c r="A86" s="3" t="s">
        <v>29</v>
      </c>
      <c r="B86" s="4" t="s">
        <v>448</v>
      </c>
      <c r="C86" s="4" t="s">
        <v>432</v>
      </c>
      <c r="D86" s="5" t="s">
        <v>9</v>
      </c>
      <c r="E86" s="4" t="s">
        <v>449</v>
      </c>
      <c r="F86" s="4" t="s">
        <v>441</v>
      </c>
      <c r="G86" s="4" t="s">
        <v>450</v>
      </c>
      <c r="H86" s="4" t="s">
        <v>53</v>
      </c>
      <c r="I86" s="4" t="s">
        <v>451</v>
      </c>
      <c r="J86" s="5" t="s">
        <v>9</v>
      </c>
      <c r="K86" s="6" t="s">
        <v>6</v>
      </c>
    </row>
    <row r="87" spans="1:11" ht="45.75">
      <c r="A87" s="3" t="s">
        <v>29</v>
      </c>
      <c r="B87" s="4" t="s">
        <v>452</v>
      </c>
      <c r="C87" s="4" t="s">
        <v>432</v>
      </c>
      <c r="D87" s="5" t="s">
        <v>9</v>
      </c>
      <c r="E87" s="4" t="s">
        <v>453</v>
      </c>
      <c r="F87" s="4" t="s">
        <v>441</v>
      </c>
      <c r="G87" s="4" t="s">
        <v>454</v>
      </c>
      <c r="H87" s="4" t="s">
        <v>53</v>
      </c>
      <c r="I87" s="4" t="s">
        <v>455</v>
      </c>
      <c r="J87" s="5" t="s">
        <v>9</v>
      </c>
      <c r="K87" s="6" t="s">
        <v>6</v>
      </c>
    </row>
    <row r="88" spans="1:11" ht="30.75">
      <c r="A88" s="3" t="s">
        <v>29</v>
      </c>
      <c r="B88" s="4" t="s">
        <v>456</v>
      </c>
      <c r="C88" s="4" t="s">
        <v>432</v>
      </c>
      <c r="D88" s="7" t="s">
        <v>5</v>
      </c>
      <c r="E88" s="4" t="s">
        <v>457</v>
      </c>
      <c r="F88" s="4" t="s">
        <v>441</v>
      </c>
      <c r="G88" s="4" t="s">
        <v>458</v>
      </c>
      <c r="H88" s="4" t="s">
        <v>188</v>
      </c>
      <c r="I88" s="4" t="s">
        <v>459</v>
      </c>
      <c r="J88" s="7" t="s">
        <v>5</v>
      </c>
      <c r="K88" s="6" t="s">
        <v>8</v>
      </c>
    </row>
    <row r="89" spans="1:11" ht="30.75">
      <c r="A89" s="3" t="s">
        <v>29</v>
      </c>
      <c r="B89" s="4" t="s">
        <v>460</v>
      </c>
      <c r="C89" s="4" t="s">
        <v>432</v>
      </c>
      <c r="D89" s="5" t="s">
        <v>9</v>
      </c>
      <c r="E89" s="4" t="s">
        <v>461</v>
      </c>
      <c r="F89" s="4" t="s">
        <v>441</v>
      </c>
      <c r="G89" s="4" t="s">
        <v>403</v>
      </c>
      <c r="H89" s="4" t="s">
        <v>404</v>
      </c>
      <c r="I89" s="4" t="s">
        <v>462</v>
      </c>
      <c r="J89" s="5" t="s">
        <v>9</v>
      </c>
      <c r="K89" s="6" t="s">
        <v>6</v>
      </c>
    </row>
    <row r="90" spans="1:11" ht="30.75">
      <c r="A90" s="3" t="s">
        <v>29</v>
      </c>
      <c r="B90" s="4" t="s">
        <v>463</v>
      </c>
      <c r="C90" s="4" t="s">
        <v>432</v>
      </c>
      <c r="D90" s="5" t="s">
        <v>9</v>
      </c>
      <c r="E90" s="4" t="s">
        <v>464</v>
      </c>
      <c r="F90" s="4" t="s">
        <v>441</v>
      </c>
      <c r="G90" s="4" t="s">
        <v>242</v>
      </c>
      <c r="H90" s="4" t="s">
        <v>243</v>
      </c>
      <c r="I90" s="4" t="s">
        <v>410</v>
      </c>
      <c r="J90" s="5" t="s">
        <v>9</v>
      </c>
      <c r="K90" s="6" t="s">
        <v>6</v>
      </c>
    </row>
    <row r="91" spans="1:11" ht="30.75">
      <c r="A91" s="3" t="s">
        <v>29</v>
      </c>
      <c r="B91" s="4" t="s">
        <v>465</v>
      </c>
      <c r="C91" s="4" t="s">
        <v>432</v>
      </c>
      <c r="D91" s="5" t="s">
        <v>9</v>
      </c>
      <c r="E91" s="4" t="s">
        <v>412</v>
      </c>
      <c r="F91" s="4" t="s">
        <v>441</v>
      </c>
      <c r="G91" s="4" t="s">
        <v>413</v>
      </c>
      <c r="H91" s="4" t="s">
        <v>290</v>
      </c>
      <c r="I91" s="4" t="s">
        <v>466</v>
      </c>
      <c r="J91" s="5" t="s">
        <v>9</v>
      </c>
      <c r="K91" s="6" t="s">
        <v>6</v>
      </c>
    </row>
    <row r="92" spans="1:11" ht="30.75">
      <c r="A92" s="3" t="s">
        <v>29</v>
      </c>
      <c r="B92" s="4" t="s">
        <v>467</v>
      </c>
      <c r="C92" s="4" t="s">
        <v>468</v>
      </c>
      <c r="D92" s="9" t="s">
        <v>11</v>
      </c>
      <c r="E92" s="4" t="s">
        <v>469</v>
      </c>
      <c r="F92" s="4" t="s">
        <v>470</v>
      </c>
      <c r="G92" s="4" t="s">
        <v>471</v>
      </c>
      <c r="H92" s="4" t="s">
        <v>472</v>
      </c>
      <c r="I92" s="4" t="s">
        <v>473</v>
      </c>
      <c r="J92" s="9" t="s">
        <v>11</v>
      </c>
      <c r="K92" s="6" t="s">
        <v>6</v>
      </c>
    </row>
    <row r="93" spans="1:11" ht="45.75">
      <c r="A93" s="3" t="s">
        <v>29</v>
      </c>
      <c r="B93" s="4" t="s">
        <v>474</v>
      </c>
      <c r="C93" s="4" t="s">
        <v>468</v>
      </c>
      <c r="D93" s="7" t="s">
        <v>5</v>
      </c>
      <c r="E93" s="4" t="s">
        <v>475</v>
      </c>
      <c r="F93" s="4" t="s">
        <v>470</v>
      </c>
      <c r="G93" s="4" t="s">
        <v>476</v>
      </c>
      <c r="H93" s="4" t="s">
        <v>477</v>
      </c>
      <c r="I93" s="4" t="s">
        <v>478</v>
      </c>
      <c r="J93" s="7" t="s">
        <v>5</v>
      </c>
      <c r="K93" s="6" t="s">
        <v>6</v>
      </c>
    </row>
    <row r="94" spans="1:11" ht="30.75">
      <c r="A94" s="3" t="s">
        <v>29</v>
      </c>
      <c r="B94" s="4" t="s">
        <v>479</v>
      </c>
      <c r="C94" s="4" t="s">
        <v>468</v>
      </c>
      <c r="D94" s="7" t="s">
        <v>5</v>
      </c>
      <c r="E94" s="4" t="s">
        <v>480</v>
      </c>
      <c r="F94" s="4" t="s">
        <v>470</v>
      </c>
      <c r="G94" s="4" t="s">
        <v>481</v>
      </c>
      <c r="H94" s="4" t="s">
        <v>482</v>
      </c>
      <c r="I94" s="4" t="s">
        <v>483</v>
      </c>
      <c r="J94" s="7" t="s">
        <v>5</v>
      </c>
      <c r="K94" s="6" t="s">
        <v>6</v>
      </c>
    </row>
    <row r="95" spans="1:11" ht="30.75">
      <c r="A95" s="3" t="s">
        <v>29</v>
      </c>
      <c r="B95" s="4" t="s">
        <v>484</v>
      </c>
      <c r="C95" s="4" t="s">
        <v>468</v>
      </c>
      <c r="D95" s="7" t="s">
        <v>5</v>
      </c>
      <c r="E95" s="4" t="s">
        <v>485</v>
      </c>
      <c r="F95" s="4" t="s">
        <v>486</v>
      </c>
      <c r="G95" s="4" t="s">
        <v>487</v>
      </c>
      <c r="H95" s="4" t="s">
        <v>488</v>
      </c>
      <c r="I95" s="4" t="s">
        <v>489</v>
      </c>
      <c r="J95" s="7" t="s">
        <v>5</v>
      </c>
      <c r="K95" s="6" t="s">
        <v>6</v>
      </c>
    </row>
    <row r="96" spans="1:11" ht="30.75">
      <c r="A96" s="3" t="s">
        <v>29</v>
      </c>
      <c r="B96" s="4" t="s">
        <v>490</v>
      </c>
      <c r="C96" s="4" t="s">
        <v>468</v>
      </c>
      <c r="D96" s="5" t="s">
        <v>9</v>
      </c>
      <c r="E96" s="4" t="s">
        <v>491</v>
      </c>
      <c r="F96" s="4" t="s">
        <v>470</v>
      </c>
      <c r="G96" s="4" t="s">
        <v>492</v>
      </c>
      <c r="H96" s="4" t="s">
        <v>493</v>
      </c>
      <c r="I96" s="4" t="s">
        <v>494</v>
      </c>
      <c r="J96" s="5" t="s">
        <v>9</v>
      </c>
      <c r="K96" s="6" t="s">
        <v>6</v>
      </c>
    </row>
    <row r="97" spans="1:11" ht="30.75">
      <c r="A97" s="3" t="s">
        <v>29</v>
      </c>
      <c r="B97" s="4" t="s">
        <v>495</v>
      </c>
      <c r="C97" s="4" t="s">
        <v>468</v>
      </c>
      <c r="D97" s="5" t="s">
        <v>9</v>
      </c>
      <c r="E97" s="4" t="s">
        <v>496</v>
      </c>
      <c r="F97" s="4" t="s">
        <v>497</v>
      </c>
      <c r="G97" s="4" t="s">
        <v>498</v>
      </c>
      <c r="H97" s="4" t="s">
        <v>499</v>
      </c>
      <c r="I97" s="4" t="s">
        <v>500</v>
      </c>
      <c r="J97" s="5" t="s">
        <v>9</v>
      </c>
      <c r="K97" s="6" t="s">
        <v>6</v>
      </c>
    </row>
    <row r="98" spans="1:11" ht="30.75">
      <c r="A98" s="3" t="s">
        <v>29</v>
      </c>
      <c r="B98" s="4" t="s">
        <v>501</v>
      </c>
      <c r="C98" s="4" t="s">
        <v>468</v>
      </c>
      <c r="D98" s="7" t="s">
        <v>5</v>
      </c>
      <c r="E98" s="4" t="s">
        <v>502</v>
      </c>
      <c r="F98" s="4" t="s">
        <v>470</v>
      </c>
      <c r="G98" s="4" t="s">
        <v>503</v>
      </c>
      <c r="H98" s="4" t="s">
        <v>504</v>
      </c>
      <c r="I98" s="4" t="s">
        <v>505</v>
      </c>
      <c r="J98" s="7" t="s">
        <v>5</v>
      </c>
      <c r="K98" s="6" t="s">
        <v>6</v>
      </c>
    </row>
    <row r="99" spans="1:11" ht="45.75">
      <c r="A99" s="3" t="s">
        <v>29</v>
      </c>
      <c r="B99" s="4" t="s">
        <v>506</v>
      </c>
      <c r="C99" s="4" t="s">
        <v>468</v>
      </c>
      <c r="D99" s="5" t="s">
        <v>9</v>
      </c>
      <c r="E99" s="4" t="s">
        <v>507</v>
      </c>
      <c r="F99" s="4" t="s">
        <v>470</v>
      </c>
      <c r="G99" s="4" t="s">
        <v>508</v>
      </c>
      <c r="H99" s="4" t="s">
        <v>509</v>
      </c>
      <c r="I99" s="4" t="s">
        <v>510</v>
      </c>
      <c r="J99" s="5" t="s">
        <v>9</v>
      </c>
      <c r="K99" s="6" t="s">
        <v>6</v>
      </c>
    </row>
    <row r="100" spans="1:11" ht="30.75">
      <c r="A100" s="3" t="s">
        <v>29</v>
      </c>
      <c r="B100" s="4" t="s">
        <v>511</v>
      </c>
      <c r="C100" s="4" t="s">
        <v>468</v>
      </c>
      <c r="D100" s="5" t="s">
        <v>9</v>
      </c>
      <c r="E100" s="4" t="s">
        <v>512</v>
      </c>
      <c r="F100" s="4" t="s">
        <v>513</v>
      </c>
      <c r="G100" s="4" t="s">
        <v>514</v>
      </c>
      <c r="H100" s="4" t="s">
        <v>270</v>
      </c>
      <c r="I100" s="4" t="s">
        <v>515</v>
      </c>
      <c r="J100" s="5" t="s">
        <v>9</v>
      </c>
      <c r="K100" s="6" t="s">
        <v>6</v>
      </c>
    </row>
    <row r="101" spans="1:11" ht="76.5">
      <c r="A101" s="3" t="s">
        <v>29</v>
      </c>
      <c r="B101" s="4" t="s">
        <v>516</v>
      </c>
      <c r="C101" s="4" t="s">
        <v>468</v>
      </c>
      <c r="D101" s="5" t="s">
        <v>9</v>
      </c>
      <c r="E101" s="4" t="s">
        <v>517</v>
      </c>
      <c r="F101" s="4" t="s">
        <v>470</v>
      </c>
      <c r="G101" s="4" t="s">
        <v>518</v>
      </c>
      <c r="H101" s="4" t="s">
        <v>53</v>
      </c>
      <c r="I101" s="4" t="s">
        <v>519</v>
      </c>
      <c r="J101" s="5" t="s">
        <v>9</v>
      </c>
      <c r="K101" s="6" t="s">
        <v>6</v>
      </c>
    </row>
    <row r="102" spans="1:11" ht="30.75">
      <c r="A102" s="3" t="s">
        <v>29</v>
      </c>
      <c r="B102" s="4" t="s">
        <v>520</v>
      </c>
      <c r="C102" s="4" t="s">
        <v>468</v>
      </c>
      <c r="D102" s="5" t="s">
        <v>9</v>
      </c>
      <c r="E102" s="4" t="s">
        <v>521</v>
      </c>
      <c r="F102" s="4" t="s">
        <v>470</v>
      </c>
      <c r="G102" s="4" t="s">
        <v>522</v>
      </c>
      <c r="H102" s="4" t="s">
        <v>499</v>
      </c>
      <c r="I102" s="4" t="s">
        <v>523</v>
      </c>
      <c r="J102" s="5" t="s">
        <v>9</v>
      </c>
      <c r="K102" s="6" t="s">
        <v>6</v>
      </c>
    </row>
    <row r="103" spans="1:11" ht="30.75">
      <c r="A103" s="3" t="s">
        <v>29</v>
      </c>
      <c r="B103" s="4" t="s">
        <v>524</v>
      </c>
      <c r="C103" s="4" t="s">
        <v>468</v>
      </c>
      <c r="D103" s="8" t="s">
        <v>7</v>
      </c>
      <c r="E103" s="4" t="s">
        <v>525</v>
      </c>
      <c r="F103" s="4" t="s">
        <v>526</v>
      </c>
      <c r="G103" s="4" t="s">
        <v>527</v>
      </c>
      <c r="H103" s="4" t="s">
        <v>53</v>
      </c>
      <c r="I103" s="4" t="s">
        <v>528</v>
      </c>
      <c r="J103" s="8" t="s">
        <v>7</v>
      </c>
      <c r="K103" s="6" t="s">
        <v>6</v>
      </c>
    </row>
    <row r="104" spans="1:11" ht="30.75">
      <c r="A104" s="3" t="s">
        <v>29</v>
      </c>
      <c r="B104" s="4" t="s">
        <v>529</v>
      </c>
      <c r="C104" s="4" t="s">
        <v>530</v>
      </c>
      <c r="D104" s="7" t="s">
        <v>5</v>
      </c>
      <c r="E104" s="4" t="s">
        <v>531</v>
      </c>
      <c r="F104" s="4" t="s">
        <v>532</v>
      </c>
      <c r="G104" s="4" t="s">
        <v>533</v>
      </c>
      <c r="H104" s="4" t="s">
        <v>534</v>
      </c>
      <c r="I104" s="4" t="s">
        <v>535</v>
      </c>
      <c r="J104" s="7" t="s">
        <v>5</v>
      </c>
      <c r="K104" s="6" t="s">
        <v>6</v>
      </c>
    </row>
    <row r="105" spans="1:11" ht="30.75">
      <c r="A105" s="3" t="s">
        <v>29</v>
      </c>
      <c r="B105" s="4" t="s">
        <v>536</v>
      </c>
      <c r="C105" s="4" t="s">
        <v>530</v>
      </c>
      <c r="D105" s="7" t="s">
        <v>5</v>
      </c>
      <c r="E105" s="4" t="s">
        <v>537</v>
      </c>
      <c r="F105" s="4" t="s">
        <v>538</v>
      </c>
      <c r="G105" s="4" t="s">
        <v>539</v>
      </c>
      <c r="H105" s="4" t="s">
        <v>540</v>
      </c>
      <c r="I105" s="4" t="s">
        <v>541</v>
      </c>
      <c r="J105" s="7" t="s">
        <v>5</v>
      </c>
      <c r="K105" s="6" t="s">
        <v>6</v>
      </c>
    </row>
    <row r="106" spans="1:11" ht="30.75">
      <c r="A106" s="3" t="s">
        <v>29</v>
      </c>
      <c r="B106" s="4" t="s">
        <v>542</v>
      </c>
      <c r="C106" s="4" t="s">
        <v>530</v>
      </c>
      <c r="D106" s="7" t="s">
        <v>5</v>
      </c>
      <c r="E106" s="4" t="s">
        <v>543</v>
      </c>
      <c r="F106" s="4" t="s">
        <v>532</v>
      </c>
      <c r="G106" s="4" t="s">
        <v>544</v>
      </c>
      <c r="H106" s="4" t="s">
        <v>53</v>
      </c>
      <c r="I106" s="4" t="s">
        <v>545</v>
      </c>
      <c r="J106" s="7" t="s">
        <v>5</v>
      </c>
      <c r="K106" s="6" t="s">
        <v>6</v>
      </c>
    </row>
    <row r="107" spans="1:11" ht="30.75">
      <c r="A107" s="3" t="s">
        <v>29</v>
      </c>
      <c r="B107" s="4" t="s">
        <v>546</v>
      </c>
      <c r="C107" s="4" t="s">
        <v>530</v>
      </c>
      <c r="D107" s="5" t="s">
        <v>9</v>
      </c>
      <c r="E107" s="4" t="s">
        <v>547</v>
      </c>
      <c r="F107" s="4" t="s">
        <v>532</v>
      </c>
      <c r="G107" s="4" t="s">
        <v>548</v>
      </c>
      <c r="H107" s="4" t="s">
        <v>53</v>
      </c>
      <c r="I107" s="4" t="s">
        <v>549</v>
      </c>
      <c r="J107" s="5" t="s">
        <v>9</v>
      </c>
      <c r="K107" s="6" t="s">
        <v>6</v>
      </c>
    </row>
    <row r="108" spans="1:11" ht="30.75">
      <c r="A108" s="3" t="s">
        <v>29</v>
      </c>
      <c r="B108" s="4" t="s">
        <v>550</v>
      </c>
      <c r="C108" s="4" t="s">
        <v>530</v>
      </c>
      <c r="D108" s="5" t="s">
        <v>9</v>
      </c>
      <c r="E108" s="4" t="s">
        <v>551</v>
      </c>
      <c r="F108" s="4" t="s">
        <v>532</v>
      </c>
      <c r="G108" s="4" t="s">
        <v>552</v>
      </c>
      <c r="H108" s="4" t="s">
        <v>53</v>
      </c>
      <c r="I108" s="4" t="s">
        <v>553</v>
      </c>
      <c r="J108" s="5" t="s">
        <v>9</v>
      </c>
      <c r="K108" s="6" t="s">
        <v>6</v>
      </c>
    </row>
    <row r="109" spans="1:11" ht="45.75">
      <c r="A109" s="3" t="s">
        <v>29</v>
      </c>
      <c r="B109" s="4" t="s">
        <v>554</v>
      </c>
      <c r="C109" s="4" t="s">
        <v>530</v>
      </c>
      <c r="D109" s="5" t="s">
        <v>9</v>
      </c>
      <c r="E109" s="4" t="s">
        <v>555</v>
      </c>
      <c r="F109" s="4" t="s">
        <v>556</v>
      </c>
      <c r="G109" s="4" t="s">
        <v>557</v>
      </c>
      <c r="H109" s="4" t="s">
        <v>53</v>
      </c>
      <c r="I109" s="4" t="s">
        <v>558</v>
      </c>
      <c r="J109" s="5" t="s">
        <v>9</v>
      </c>
      <c r="K109" s="6"/>
    </row>
    <row r="110" spans="1:11" ht="76.5">
      <c r="A110" s="3" t="s">
        <v>29</v>
      </c>
      <c r="B110" s="4" t="s">
        <v>559</v>
      </c>
      <c r="C110" s="4" t="s">
        <v>530</v>
      </c>
      <c r="D110" s="5" t="s">
        <v>9</v>
      </c>
      <c r="E110" s="4" t="s">
        <v>560</v>
      </c>
      <c r="F110" s="4" t="s">
        <v>532</v>
      </c>
      <c r="G110" s="4" t="s">
        <v>561</v>
      </c>
      <c r="H110" s="4" t="s">
        <v>53</v>
      </c>
      <c r="I110" s="4" t="s">
        <v>562</v>
      </c>
      <c r="J110" s="5" t="s">
        <v>9</v>
      </c>
      <c r="K110" s="6" t="s">
        <v>6</v>
      </c>
    </row>
    <row r="111" spans="1:11" ht="30.75">
      <c r="A111" s="3" t="s">
        <v>29</v>
      </c>
      <c r="B111" s="4" t="s">
        <v>563</v>
      </c>
      <c r="C111" s="4" t="s">
        <v>564</v>
      </c>
      <c r="D111" s="7" t="s">
        <v>5</v>
      </c>
      <c r="E111" s="4" t="s">
        <v>565</v>
      </c>
      <c r="F111" s="4" t="s">
        <v>566</v>
      </c>
      <c r="G111" s="4" t="s">
        <v>567</v>
      </c>
      <c r="H111" s="4" t="s">
        <v>53</v>
      </c>
      <c r="I111" s="4" t="s">
        <v>568</v>
      </c>
      <c r="J111" s="7" t="s">
        <v>5</v>
      </c>
      <c r="K111" s="6" t="s">
        <v>6</v>
      </c>
    </row>
    <row r="112" spans="1:11" ht="30.75">
      <c r="A112" s="3" t="s">
        <v>29</v>
      </c>
      <c r="B112" s="4" t="s">
        <v>569</v>
      </c>
      <c r="C112" s="4" t="s">
        <v>564</v>
      </c>
      <c r="D112" s="7" t="s">
        <v>5</v>
      </c>
      <c r="E112" s="4" t="s">
        <v>570</v>
      </c>
      <c r="F112" s="4" t="s">
        <v>571</v>
      </c>
      <c r="G112" s="4" t="s">
        <v>572</v>
      </c>
      <c r="H112" s="4" t="s">
        <v>573</v>
      </c>
      <c r="I112" s="4" t="s">
        <v>574</v>
      </c>
      <c r="J112" s="7" t="s">
        <v>5</v>
      </c>
      <c r="K112" s="6" t="s">
        <v>6</v>
      </c>
    </row>
    <row r="113" spans="1:11" ht="30.75">
      <c r="A113" s="3" t="s">
        <v>29</v>
      </c>
      <c r="B113" s="4" t="s">
        <v>575</v>
      </c>
      <c r="C113" s="4" t="s">
        <v>564</v>
      </c>
      <c r="D113" s="9" t="s">
        <v>11</v>
      </c>
      <c r="E113" s="4" t="s">
        <v>576</v>
      </c>
      <c r="F113" s="4" t="s">
        <v>577</v>
      </c>
      <c r="G113" s="4" t="s">
        <v>578</v>
      </c>
      <c r="H113" s="4" t="s">
        <v>573</v>
      </c>
      <c r="I113" s="4" t="s">
        <v>579</v>
      </c>
      <c r="J113" s="9" t="s">
        <v>11</v>
      </c>
      <c r="K113" s="6" t="s">
        <v>6</v>
      </c>
    </row>
    <row r="114" spans="1:11" ht="60.75">
      <c r="A114" s="3" t="s">
        <v>29</v>
      </c>
      <c r="B114" s="4" t="s">
        <v>580</v>
      </c>
      <c r="C114" s="4" t="s">
        <v>564</v>
      </c>
      <c r="D114" s="5" t="s">
        <v>9</v>
      </c>
      <c r="E114" s="4" t="s">
        <v>581</v>
      </c>
      <c r="F114" s="4" t="s">
        <v>571</v>
      </c>
      <c r="G114" s="4" t="s">
        <v>582</v>
      </c>
      <c r="H114" s="4" t="s">
        <v>53</v>
      </c>
      <c r="I114" s="4" t="s">
        <v>583</v>
      </c>
      <c r="J114" s="5" t="s">
        <v>9</v>
      </c>
      <c r="K114" s="6" t="s">
        <v>6</v>
      </c>
    </row>
    <row r="115" spans="1:11" ht="30.75">
      <c r="A115" s="3" t="s">
        <v>29</v>
      </c>
      <c r="B115" s="4" t="s">
        <v>584</v>
      </c>
      <c r="C115" s="4" t="s">
        <v>585</v>
      </c>
      <c r="D115" s="7" t="s">
        <v>5</v>
      </c>
      <c r="E115" s="4" t="s">
        <v>586</v>
      </c>
      <c r="F115" s="4" t="s">
        <v>587</v>
      </c>
      <c r="G115" s="4" t="s">
        <v>588</v>
      </c>
      <c r="H115" s="4" t="s">
        <v>53</v>
      </c>
      <c r="I115" s="4" t="s">
        <v>589</v>
      </c>
      <c r="J115" s="7" t="s">
        <v>5</v>
      </c>
      <c r="K115" s="6" t="s">
        <v>6</v>
      </c>
    </row>
    <row r="116" spans="1:11" ht="45.75">
      <c r="A116" s="3" t="s">
        <v>29</v>
      </c>
      <c r="B116" s="4" t="s">
        <v>590</v>
      </c>
      <c r="C116" s="4" t="s">
        <v>585</v>
      </c>
      <c r="D116" s="7" t="s">
        <v>5</v>
      </c>
      <c r="E116" s="4" t="s">
        <v>591</v>
      </c>
      <c r="F116" s="4" t="s">
        <v>592</v>
      </c>
      <c r="G116" s="4" t="s">
        <v>593</v>
      </c>
      <c r="H116" s="4" t="s">
        <v>53</v>
      </c>
      <c r="I116" s="4" t="s">
        <v>594</v>
      </c>
      <c r="J116" s="7" t="s">
        <v>5</v>
      </c>
      <c r="K116" s="6" t="s">
        <v>6</v>
      </c>
    </row>
    <row r="117" spans="1:11" ht="30.75">
      <c r="A117" s="3" t="s">
        <v>29</v>
      </c>
      <c r="B117" s="4" t="s">
        <v>595</v>
      </c>
      <c r="C117" s="4" t="s">
        <v>585</v>
      </c>
      <c r="D117" s="7" t="s">
        <v>5</v>
      </c>
      <c r="E117" s="4" t="s">
        <v>596</v>
      </c>
      <c r="F117" s="4" t="s">
        <v>597</v>
      </c>
      <c r="G117" s="4" t="s">
        <v>598</v>
      </c>
      <c r="H117" s="4" t="s">
        <v>53</v>
      </c>
      <c r="I117" s="4" t="s">
        <v>599</v>
      </c>
      <c r="J117" s="7" t="s">
        <v>5</v>
      </c>
      <c r="K117" s="6" t="s">
        <v>6</v>
      </c>
    </row>
    <row r="118" spans="1:11">
      <c r="A118" s="3" t="s">
        <v>29</v>
      </c>
      <c r="B118" s="4" t="s">
        <v>600</v>
      </c>
      <c r="C118" s="4" t="s">
        <v>585</v>
      </c>
      <c r="D118" s="5" t="s">
        <v>9</v>
      </c>
      <c r="E118" s="4" t="s">
        <v>601</v>
      </c>
      <c r="F118" s="4" t="s">
        <v>602</v>
      </c>
      <c r="G118" s="4" t="s">
        <v>603</v>
      </c>
      <c r="H118" s="4" t="s">
        <v>53</v>
      </c>
      <c r="I118" s="4" t="s">
        <v>604</v>
      </c>
      <c r="J118" s="5" t="s">
        <v>9</v>
      </c>
      <c r="K118" s="6" t="s">
        <v>6</v>
      </c>
    </row>
    <row r="119" spans="1:11" ht="32.25">
      <c r="A119" s="3" t="s">
        <v>29</v>
      </c>
      <c r="B119" s="4" t="s">
        <v>605</v>
      </c>
      <c r="C119" s="4" t="s">
        <v>585</v>
      </c>
      <c r="D119" s="7" t="s">
        <v>5</v>
      </c>
      <c r="E119" s="4" t="s">
        <v>606</v>
      </c>
      <c r="F119" s="4" t="s">
        <v>602</v>
      </c>
      <c r="G119" s="4" t="s">
        <v>607</v>
      </c>
      <c r="H119" s="4" t="s">
        <v>53</v>
      </c>
      <c r="I119" s="4" t="s">
        <v>608</v>
      </c>
      <c r="J119" s="7" t="s">
        <v>5</v>
      </c>
      <c r="K119" s="6" t="s">
        <v>6</v>
      </c>
    </row>
    <row r="120" spans="1:11" ht="30.75">
      <c r="A120" s="3" t="s">
        <v>29</v>
      </c>
      <c r="B120" s="4" t="s">
        <v>609</v>
      </c>
      <c r="C120" s="4" t="s">
        <v>585</v>
      </c>
      <c r="D120" s="5" t="s">
        <v>9</v>
      </c>
      <c r="E120" s="4" t="s">
        <v>610</v>
      </c>
      <c r="F120" s="4" t="s">
        <v>592</v>
      </c>
      <c r="G120" s="4" t="s">
        <v>611</v>
      </c>
      <c r="H120" s="4" t="s">
        <v>53</v>
      </c>
      <c r="I120" s="4" t="s">
        <v>612</v>
      </c>
      <c r="J120" s="5" t="s">
        <v>9</v>
      </c>
      <c r="K120" s="6" t="s">
        <v>6</v>
      </c>
    </row>
    <row r="121" spans="1:11" ht="30.75">
      <c r="A121" s="3" t="s">
        <v>29</v>
      </c>
      <c r="B121" s="4" t="s">
        <v>613</v>
      </c>
      <c r="C121" s="4" t="s">
        <v>585</v>
      </c>
      <c r="D121" s="5" t="s">
        <v>9</v>
      </c>
      <c r="E121" s="4" t="s">
        <v>614</v>
      </c>
      <c r="F121" s="4" t="s">
        <v>615</v>
      </c>
      <c r="G121" s="4" t="s">
        <v>616</v>
      </c>
      <c r="H121" s="4" t="s">
        <v>53</v>
      </c>
      <c r="I121" s="4" t="s">
        <v>617</v>
      </c>
      <c r="J121" s="5" t="s">
        <v>9</v>
      </c>
      <c r="K121" s="6" t="s">
        <v>6</v>
      </c>
    </row>
    <row r="122" spans="1:11" ht="30.75">
      <c r="A122" s="3" t="s">
        <v>29</v>
      </c>
      <c r="B122" s="4" t="s">
        <v>618</v>
      </c>
      <c r="C122" s="4" t="s">
        <v>585</v>
      </c>
      <c r="D122" s="5" t="s">
        <v>9</v>
      </c>
      <c r="E122" s="4" t="s">
        <v>619</v>
      </c>
      <c r="F122" s="4" t="s">
        <v>620</v>
      </c>
      <c r="G122" s="4" t="s">
        <v>621</v>
      </c>
      <c r="H122" s="4" t="s">
        <v>53</v>
      </c>
      <c r="I122" s="4" t="s">
        <v>622</v>
      </c>
      <c r="J122" s="5" t="s">
        <v>9</v>
      </c>
      <c r="K122" s="6" t="s">
        <v>6</v>
      </c>
    </row>
    <row r="123" spans="1:11" ht="30.75">
      <c r="A123" s="3" t="s">
        <v>29</v>
      </c>
      <c r="B123" s="4" t="s">
        <v>623</v>
      </c>
      <c r="C123" s="4" t="s">
        <v>585</v>
      </c>
      <c r="D123" s="5" t="s">
        <v>9</v>
      </c>
      <c r="E123" s="4" t="s">
        <v>624</v>
      </c>
      <c r="F123" s="4" t="s">
        <v>625</v>
      </c>
      <c r="G123" s="4" t="s">
        <v>626</v>
      </c>
      <c r="H123" s="4" t="s">
        <v>53</v>
      </c>
      <c r="I123" s="4" t="s">
        <v>627</v>
      </c>
      <c r="J123" s="5" t="s">
        <v>9</v>
      </c>
      <c r="K123" s="6" t="s">
        <v>6</v>
      </c>
    </row>
    <row r="124" spans="1:11" ht="30.75">
      <c r="A124" s="3" t="s">
        <v>29</v>
      </c>
      <c r="B124" s="4" t="s">
        <v>628</v>
      </c>
      <c r="C124" s="4" t="s">
        <v>585</v>
      </c>
      <c r="D124" s="5" t="s">
        <v>9</v>
      </c>
      <c r="E124" s="4" t="s">
        <v>629</v>
      </c>
      <c r="F124" s="4" t="s">
        <v>630</v>
      </c>
      <c r="G124" s="4" t="s">
        <v>631</v>
      </c>
      <c r="H124" s="4" t="s">
        <v>53</v>
      </c>
      <c r="I124" s="4" t="s">
        <v>632</v>
      </c>
      <c r="J124" s="5" t="s">
        <v>9</v>
      </c>
      <c r="K124" s="6" t="s">
        <v>6</v>
      </c>
    </row>
    <row r="125" spans="1:11" ht="45.75">
      <c r="A125" s="3" t="s">
        <v>36</v>
      </c>
      <c r="B125" s="4" t="s">
        <v>633</v>
      </c>
      <c r="C125" s="4" t="s">
        <v>634</v>
      </c>
      <c r="D125" s="7" t="s">
        <v>5</v>
      </c>
      <c r="E125" s="4" t="s">
        <v>635</v>
      </c>
      <c r="F125" s="4" t="s">
        <v>636</v>
      </c>
      <c r="G125" s="4" t="s">
        <v>637</v>
      </c>
      <c r="H125" s="4" t="s">
        <v>638</v>
      </c>
      <c r="I125" s="4" t="s">
        <v>639</v>
      </c>
      <c r="J125" s="7" t="s">
        <v>5</v>
      </c>
      <c r="K125" s="6" t="s">
        <v>6</v>
      </c>
    </row>
    <row r="126" spans="1:11" ht="45.75">
      <c r="A126" s="3" t="s">
        <v>36</v>
      </c>
      <c r="B126" s="4" t="s">
        <v>640</v>
      </c>
      <c r="C126" s="4" t="s">
        <v>634</v>
      </c>
      <c r="D126" s="8" t="s">
        <v>7</v>
      </c>
      <c r="E126" s="4" t="s">
        <v>641</v>
      </c>
      <c r="F126" s="4" t="s">
        <v>636</v>
      </c>
      <c r="G126" s="4" t="s">
        <v>642</v>
      </c>
      <c r="H126" s="4" t="s">
        <v>53</v>
      </c>
      <c r="I126" s="4" t="s">
        <v>643</v>
      </c>
      <c r="J126" s="8" t="s">
        <v>7</v>
      </c>
      <c r="K126" s="6" t="s">
        <v>6</v>
      </c>
    </row>
    <row r="127" spans="1:11" ht="30.75">
      <c r="A127" s="3" t="s">
        <v>36</v>
      </c>
      <c r="B127" s="4" t="s">
        <v>644</v>
      </c>
      <c r="C127" s="4" t="s">
        <v>645</v>
      </c>
      <c r="D127" s="7" t="s">
        <v>5</v>
      </c>
      <c r="E127" s="4" t="s">
        <v>565</v>
      </c>
      <c r="F127" s="4" t="s">
        <v>646</v>
      </c>
      <c r="G127" s="4" t="s">
        <v>647</v>
      </c>
      <c r="H127" s="4" t="s">
        <v>53</v>
      </c>
      <c r="I127" s="4" t="s">
        <v>648</v>
      </c>
      <c r="J127" s="7" t="s">
        <v>5</v>
      </c>
      <c r="K127" s="6" t="s">
        <v>6</v>
      </c>
    </row>
    <row r="128" spans="1:11" ht="30.75">
      <c r="A128" s="3" t="s">
        <v>36</v>
      </c>
      <c r="B128" s="4" t="s">
        <v>649</v>
      </c>
      <c r="C128" s="4" t="s">
        <v>645</v>
      </c>
      <c r="D128" s="9" t="s">
        <v>11</v>
      </c>
      <c r="E128" s="4" t="s">
        <v>576</v>
      </c>
      <c r="F128" s="4" t="s">
        <v>646</v>
      </c>
      <c r="G128" s="4" t="s">
        <v>578</v>
      </c>
      <c r="H128" s="4" t="s">
        <v>573</v>
      </c>
      <c r="I128" s="4" t="s">
        <v>650</v>
      </c>
      <c r="J128" s="9" t="s">
        <v>11</v>
      </c>
      <c r="K128" s="6" t="s">
        <v>6</v>
      </c>
    </row>
    <row r="129" spans="1:11" ht="91.5">
      <c r="A129" s="3" t="s">
        <v>36</v>
      </c>
      <c r="B129" s="4" t="s">
        <v>651</v>
      </c>
      <c r="C129" s="4" t="s">
        <v>645</v>
      </c>
      <c r="D129" s="5" t="s">
        <v>9</v>
      </c>
      <c r="E129" s="4" t="s">
        <v>652</v>
      </c>
      <c r="F129" s="4" t="s">
        <v>646</v>
      </c>
      <c r="G129" s="4" t="s">
        <v>653</v>
      </c>
      <c r="H129" s="4" t="s">
        <v>53</v>
      </c>
      <c r="I129" s="4" t="s">
        <v>654</v>
      </c>
      <c r="J129" s="5" t="s">
        <v>9</v>
      </c>
      <c r="K129" s="6" t="s">
        <v>6</v>
      </c>
    </row>
    <row r="130" spans="1:11" ht="45.75">
      <c r="A130" s="3" t="s">
        <v>36</v>
      </c>
      <c r="B130" s="4" t="s">
        <v>655</v>
      </c>
      <c r="C130" s="4" t="s">
        <v>656</v>
      </c>
      <c r="D130" s="7" t="s">
        <v>5</v>
      </c>
      <c r="E130" s="4" t="s">
        <v>657</v>
      </c>
      <c r="F130" s="4" t="s">
        <v>658</v>
      </c>
      <c r="G130" s="4" t="s">
        <v>659</v>
      </c>
      <c r="H130" s="4" t="s">
        <v>660</v>
      </c>
      <c r="I130" s="4" t="s">
        <v>661</v>
      </c>
      <c r="J130" s="7" t="s">
        <v>5</v>
      </c>
      <c r="K130" s="6" t="s">
        <v>6</v>
      </c>
    </row>
    <row r="131" spans="1:11" ht="30.75">
      <c r="A131" s="3" t="s">
        <v>36</v>
      </c>
      <c r="B131" s="4" t="s">
        <v>662</v>
      </c>
      <c r="C131" s="4" t="s">
        <v>656</v>
      </c>
      <c r="D131" s="7" t="s">
        <v>5</v>
      </c>
      <c r="E131" s="4" t="s">
        <v>663</v>
      </c>
      <c r="F131" s="4" t="s">
        <v>664</v>
      </c>
      <c r="G131" s="4" t="s">
        <v>665</v>
      </c>
      <c r="H131" s="4" t="s">
        <v>666</v>
      </c>
      <c r="I131" s="4" t="s">
        <v>667</v>
      </c>
      <c r="J131" s="7" t="s">
        <v>5</v>
      </c>
      <c r="K131" s="6" t="s">
        <v>6</v>
      </c>
    </row>
    <row r="132" spans="1:11" ht="76.5">
      <c r="A132" s="3" t="s">
        <v>36</v>
      </c>
      <c r="B132" s="4" t="s">
        <v>668</v>
      </c>
      <c r="C132" s="4" t="s">
        <v>669</v>
      </c>
      <c r="D132" s="9" t="s">
        <v>11</v>
      </c>
      <c r="E132" s="4" t="s">
        <v>670</v>
      </c>
      <c r="F132" s="4" t="s">
        <v>671</v>
      </c>
      <c r="G132" s="4" t="s">
        <v>672</v>
      </c>
      <c r="H132" s="4" t="s">
        <v>673</v>
      </c>
      <c r="I132" s="4" t="s">
        <v>674</v>
      </c>
      <c r="J132" s="9" t="s">
        <v>11</v>
      </c>
      <c r="K132" s="6" t="s">
        <v>6</v>
      </c>
    </row>
    <row r="133" spans="1:11" ht="45.75">
      <c r="A133" s="3" t="s">
        <v>36</v>
      </c>
      <c r="B133" s="4" t="s">
        <v>675</v>
      </c>
      <c r="C133" s="4" t="s">
        <v>669</v>
      </c>
      <c r="D133" s="9" t="s">
        <v>11</v>
      </c>
      <c r="E133" s="4" t="s">
        <v>676</v>
      </c>
      <c r="F133" s="4" t="s">
        <v>671</v>
      </c>
      <c r="G133" s="4" t="s">
        <v>677</v>
      </c>
      <c r="H133" s="4" t="s">
        <v>678</v>
      </c>
      <c r="I133" s="4" t="s">
        <v>679</v>
      </c>
      <c r="J133" s="9" t="s">
        <v>11</v>
      </c>
      <c r="K133" s="6" t="s">
        <v>6</v>
      </c>
    </row>
    <row r="134" spans="1:11" ht="60.75">
      <c r="A134" s="3" t="s">
        <v>36</v>
      </c>
      <c r="B134" s="4" t="s">
        <v>680</v>
      </c>
      <c r="C134" s="4" t="s">
        <v>669</v>
      </c>
      <c r="D134" s="9" t="s">
        <v>11</v>
      </c>
      <c r="E134" s="4" t="s">
        <v>681</v>
      </c>
      <c r="F134" s="4" t="s">
        <v>671</v>
      </c>
      <c r="G134" s="4" t="s">
        <v>682</v>
      </c>
      <c r="H134" s="4" t="s">
        <v>683</v>
      </c>
      <c r="I134" s="4" t="s">
        <v>679</v>
      </c>
      <c r="J134" s="9" t="s">
        <v>11</v>
      </c>
      <c r="K134" s="6" t="s">
        <v>6</v>
      </c>
    </row>
    <row r="135" spans="1:11" ht="76.5">
      <c r="A135" s="3" t="s">
        <v>36</v>
      </c>
      <c r="B135" s="4" t="s">
        <v>684</v>
      </c>
      <c r="C135" s="4" t="s">
        <v>669</v>
      </c>
      <c r="D135" s="9" t="s">
        <v>11</v>
      </c>
      <c r="E135" s="4" t="s">
        <v>685</v>
      </c>
      <c r="F135" s="4" t="s">
        <v>671</v>
      </c>
      <c r="G135" s="4" t="s">
        <v>686</v>
      </c>
      <c r="H135" s="4" t="s">
        <v>687</v>
      </c>
      <c r="I135" s="4" t="s">
        <v>679</v>
      </c>
      <c r="J135" s="9" t="s">
        <v>11</v>
      </c>
      <c r="K135" s="6" t="s">
        <v>6</v>
      </c>
    </row>
    <row r="136" spans="1:11" ht="45.75">
      <c r="A136" s="3" t="s">
        <v>36</v>
      </c>
      <c r="B136" s="4" t="s">
        <v>688</v>
      </c>
      <c r="C136" s="4" t="s">
        <v>669</v>
      </c>
      <c r="D136" s="9" t="s">
        <v>11</v>
      </c>
      <c r="E136" s="4" t="s">
        <v>689</v>
      </c>
      <c r="F136" s="4" t="s">
        <v>671</v>
      </c>
      <c r="G136" s="4" t="s">
        <v>690</v>
      </c>
      <c r="H136" s="4" t="s">
        <v>691</v>
      </c>
      <c r="I136" s="4" t="s">
        <v>679</v>
      </c>
      <c r="J136" s="9" t="s">
        <v>11</v>
      </c>
      <c r="K136" s="6" t="s">
        <v>6</v>
      </c>
    </row>
    <row r="137" spans="1:11" ht="45.75">
      <c r="A137" s="3" t="s">
        <v>36</v>
      </c>
      <c r="B137" s="4" t="s">
        <v>692</v>
      </c>
      <c r="C137" s="4" t="s">
        <v>669</v>
      </c>
      <c r="D137" s="9" t="s">
        <v>11</v>
      </c>
      <c r="E137" s="4" t="s">
        <v>693</v>
      </c>
      <c r="F137" s="4" t="s">
        <v>694</v>
      </c>
      <c r="G137" s="4" t="s">
        <v>695</v>
      </c>
      <c r="H137" s="4" t="s">
        <v>696</v>
      </c>
      <c r="I137" s="4" t="s">
        <v>697</v>
      </c>
      <c r="J137" s="9" t="s">
        <v>11</v>
      </c>
      <c r="K137" s="6" t="s">
        <v>6</v>
      </c>
    </row>
    <row r="138" spans="1:11" ht="45.75">
      <c r="A138" s="3" t="s">
        <v>36</v>
      </c>
      <c r="B138" s="4" t="s">
        <v>698</v>
      </c>
      <c r="C138" s="4" t="s">
        <v>669</v>
      </c>
      <c r="D138" s="7" t="s">
        <v>5</v>
      </c>
      <c r="E138" s="4" t="s">
        <v>699</v>
      </c>
      <c r="F138" s="4" t="s">
        <v>700</v>
      </c>
      <c r="G138" s="4" t="s">
        <v>701</v>
      </c>
      <c r="H138" s="4" t="s">
        <v>702</v>
      </c>
      <c r="I138" s="4" t="s">
        <v>703</v>
      </c>
      <c r="J138" s="7" t="s">
        <v>5</v>
      </c>
      <c r="K138" s="6" t="s">
        <v>6</v>
      </c>
    </row>
    <row r="139" spans="1:11" ht="45.75">
      <c r="A139" s="3" t="s">
        <v>36</v>
      </c>
      <c r="B139" s="4" t="s">
        <v>704</v>
      </c>
      <c r="C139" s="4" t="s">
        <v>669</v>
      </c>
      <c r="D139" s="7" t="s">
        <v>5</v>
      </c>
      <c r="E139" s="4" t="s">
        <v>705</v>
      </c>
      <c r="F139" s="4" t="s">
        <v>706</v>
      </c>
      <c r="G139" s="4" t="s">
        <v>707</v>
      </c>
      <c r="H139" s="4" t="s">
        <v>708</v>
      </c>
      <c r="I139" s="4" t="s">
        <v>709</v>
      </c>
      <c r="J139" s="7" t="s">
        <v>5</v>
      </c>
      <c r="K139" s="6" t="s">
        <v>6</v>
      </c>
    </row>
    <row r="140" spans="1:11" ht="30.75">
      <c r="A140" s="3" t="s">
        <v>36</v>
      </c>
      <c r="B140" s="4" t="s">
        <v>710</v>
      </c>
      <c r="C140" s="4" t="s">
        <v>669</v>
      </c>
      <c r="D140" s="7" t="s">
        <v>5</v>
      </c>
      <c r="E140" s="4" t="s">
        <v>711</v>
      </c>
      <c r="F140" s="4" t="s">
        <v>712</v>
      </c>
      <c r="G140" s="4" t="s">
        <v>713</v>
      </c>
      <c r="H140" s="4" t="s">
        <v>708</v>
      </c>
      <c r="I140" s="4" t="s">
        <v>714</v>
      </c>
      <c r="J140" s="7" t="s">
        <v>5</v>
      </c>
      <c r="K140" s="6" t="s">
        <v>8</v>
      </c>
    </row>
    <row r="141" spans="1:11" ht="30.75">
      <c r="A141" s="3" t="s">
        <v>36</v>
      </c>
      <c r="B141" s="4" t="s">
        <v>715</v>
      </c>
      <c r="C141" s="4" t="s">
        <v>669</v>
      </c>
      <c r="D141" s="7" t="s">
        <v>5</v>
      </c>
      <c r="E141" s="4" t="s">
        <v>716</v>
      </c>
      <c r="F141" s="4" t="s">
        <v>712</v>
      </c>
      <c r="G141" s="4" t="s">
        <v>717</v>
      </c>
      <c r="H141" s="4" t="s">
        <v>718</v>
      </c>
      <c r="I141" s="4" t="s">
        <v>719</v>
      </c>
      <c r="J141" s="7" t="s">
        <v>5</v>
      </c>
      <c r="K141" s="6" t="s">
        <v>6</v>
      </c>
    </row>
    <row r="143" spans="1:11">
      <c r="K143"/>
    </row>
  </sheetData>
  <autoFilter ref="A1:J141" xr:uid="{40EEBEDE-335B-4B5B-88DC-2E4C4197CEC1}"/>
  <dataValidations count="1">
    <dataValidation type="list" allowBlank="1" showInputMessage="1" showErrorMessage="1" sqref="K2:K141" xr:uid="{2868CDB1-5547-42FC-A34F-54C424E54B5E}">
      <formula1>"Passed, Failed"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Do</dc:creator>
  <cp:keywords/>
  <dc:description/>
  <cp:lastModifiedBy>Maya Do</cp:lastModifiedBy>
  <cp:revision/>
  <dcterms:created xsi:type="dcterms:W3CDTF">2026-06-23T08:52:41Z</dcterms:created>
  <dcterms:modified xsi:type="dcterms:W3CDTF">2026-06-24T10:30:01Z</dcterms:modified>
  <cp:category/>
  <cp:contentStatus/>
</cp:coreProperties>
</file>